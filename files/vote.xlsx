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myt\Downloads\Telegram Desktop\"/>
    </mc:Choice>
  </mc:AlternateContent>
  <xr:revisionPtr revIDLastSave="0" documentId="13_ncr:1_{A991A220-B59F-4DEE-83E5-A28F129241CA}" xr6:coauthVersionLast="47" xr6:coauthVersionMax="47" xr10:uidLastSave="{00000000-0000-0000-0000-000000000000}"/>
  <bookViews>
    <workbookView xWindow="-120" yWindow="-120" windowWidth="29040" windowHeight="15720" firstSheet="3" activeTab="3" xr2:uid="{25525A98-9AE1-43FC-9078-EAA8640D02B2}"/>
  </bookViews>
  <sheets>
    <sheet name="시장 (2)" sheetId="9" state="hidden" r:id="rId1"/>
    <sheet name="구시군의회의원 (2)" sheetId="8" state="hidden" r:id="rId2"/>
    <sheet name="기초비례의원 (2)" sheetId="7" state="hidden" r:id="rId3"/>
    <sheet name="결과" sheetId="10" r:id="rId4"/>
    <sheet name="시장" sheetId="1" r:id="rId5"/>
    <sheet name="시도지사" sheetId="5" r:id="rId6"/>
    <sheet name="구시군의회의원" sheetId="2" r:id="rId7"/>
    <sheet name="시도의회의원" sheetId="4" r:id="rId8"/>
    <sheet name="기초비례의원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8" i="3" l="1"/>
  <c r="P48" i="3"/>
  <c r="O48" i="3"/>
  <c r="R84" i="4"/>
  <c r="Q84" i="4"/>
  <c r="P84" i="4"/>
  <c r="R94" i="2"/>
  <c r="Q94" i="2"/>
  <c r="P94" i="2"/>
  <c r="R48" i="5"/>
  <c r="Q48" i="5"/>
  <c r="P48" i="5"/>
  <c r="R48" i="1"/>
  <c r="Q48" i="1"/>
  <c r="P48" i="1"/>
  <c r="Q39" i="3"/>
  <c r="P39" i="3"/>
  <c r="O39" i="3"/>
  <c r="V36" i="3"/>
  <c r="Y36" i="3" s="1"/>
  <c r="U36" i="3"/>
  <c r="X36" i="3" s="1"/>
  <c r="T36" i="3"/>
  <c r="W36" i="3" s="1"/>
  <c r="R36" i="3"/>
  <c r="Q36" i="3"/>
  <c r="P36" i="3"/>
  <c r="O36" i="3"/>
  <c r="V35" i="3"/>
  <c r="U35" i="3"/>
  <c r="T35" i="3"/>
  <c r="R35" i="3"/>
  <c r="Q35" i="3"/>
  <c r="O35" i="3"/>
  <c r="O34" i="3"/>
  <c r="V33" i="3"/>
  <c r="Y33" i="3" s="1"/>
  <c r="U33" i="3"/>
  <c r="X33" i="3" s="1"/>
  <c r="T33" i="3"/>
  <c r="W33" i="3" s="1"/>
  <c r="R33" i="3"/>
  <c r="Q33" i="3"/>
  <c r="P33" i="3"/>
  <c r="O33" i="3"/>
  <c r="V32" i="3"/>
  <c r="U32" i="3"/>
  <c r="T32" i="3"/>
  <c r="R32" i="3"/>
  <c r="Q32" i="3"/>
  <c r="O32" i="3"/>
  <c r="O31" i="3"/>
  <c r="V30" i="3"/>
  <c r="Y30" i="3" s="1"/>
  <c r="U30" i="3"/>
  <c r="X30" i="3" s="1"/>
  <c r="T30" i="3"/>
  <c r="W30" i="3" s="1"/>
  <c r="R30" i="3"/>
  <c r="Q30" i="3"/>
  <c r="P30" i="3"/>
  <c r="O30" i="3"/>
  <c r="V29" i="3"/>
  <c r="U29" i="3"/>
  <c r="T29" i="3"/>
  <c r="R29" i="3"/>
  <c r="Q29" i="3"/>
  <c r="O29" i="3"/>
  <c r="O28" i="3"/>
  <c r="V27" i="3"/>
  <c r="Y27" i="3" s="1"/>
  <c r="U27" i="3"/>
  <c r="X27" i="3" s="1"/>
  <c r="T27" i="3"/>
  <c r="W27" i="3" s="1"/>
  <c r="R27" i="3"/>
  <c r="Q27" i="3"/>
  <c r="P27" i="3"/>
  <c r="O27" i="3"/>
  <c r="V26" i="3"/>
  <c r="U26" i="3"/>
  <c r="T26" i="3"/>
  <c r="R26" i="3"/>
  <c r="Q26" i="3"/>
  <c r="O26" i="3"/>
  <c r="O25" i="3"/>
  <c r="V24" i="3"/>
  <c r="Y24" i="3" s="1"/>
  <c r="U24" i="3"/>
  <c r="X24" i="3" s="1"/>
  <c r="T24" i="3"/>
  <c r="W24" i="3" s="1"/>
  <c r="R24" i="3"/>
  <c r="Q24" i="3"/>
  <c r="P24" i="3"/>
  <c r="O24" i="3"/>
  <c r="V23" i="3"/>
  <c r="U23" i="3"/>
  <c r="T23" i="3"/>
  <c r="R23" i="3"/>
  <c r="Q23" i="3"/>
  <c r="O23" i="3"/>
  <c r="O22" i="3"/>
  <c r="V21" i="3"/>
  <c r="Y21" i="3" s="1"/>
  <c r="U21" i="3"/>
  <c r="X21" i="3" s="1"/>
  <c r="T21" i="3"/>
  <c r="W21" i="3" s="1"/>
  <c r="R21" i="3"/>
  <c r="Q21" i="3"/>
  <c r="P21" i="3"/>
  <c r="O21" i="3"/>
  <c r="V20" i="3"/>
  <c r="U20" i="3"/>
  <c r="T20" i="3"/>
  <c r="R20" i="3"/>
  <c r="Q20" i="3"/>
  <c r="O20" i="3"/>
  <c r="O19" i="3"/>
  <c r="V18" i="3"/>
  <c r="Y18" i="3" s="1"/>
  <c r="U18" i="3"/>
  <c r="X18" i="3" s="1"/>
  <c r="T18" i="3"/>
  <c r="W18" i="3" s="1"/>
  <c r="R18" i="3"/>
  <c r="Q18" i="3"/>
  <c r="P18" i="3"/>
  <c r="O18" i="3"/>
  <c r="V17" i="3"/>
  <c r="U17" i="3"/>
  <c r="T17" i="3"/>
  <c r="R17" i="3"/>
  <c r="Q17" i="3"/>
  <c r="O17" i="3"/>
  <c r="O16" i="3"/>
  <c r="V15" i="3"/>
  <c r="Y15" i="3" s="1"/>
  <c r="U15" i="3"/>
  <c r="X15" i="3" s="1"/>
  <c r="T15" i="3"/>
  <c r="W15" i="3" s="1"/>
  <c r="R15" i="3"/>
  <c r="Q15" i="3"/>
  <c r="P15" i="3"/>
  <c r="O15" i="3"/>
  <c r="V14" i="3"/>
  <c r="U14" i="3"/>
  <c r="T14" i="3"/>
  <c r="R14" i="3"/>
  <c r="Q14" i="3"/>
  <c r="O14" i="3"/>
  <c r="O13" i="3"/>
  <c r="V12" i="3"/>
  <c r="Y12" i="3" s="1"/>
  <c r="U12" i="3"/>
  <c r="X12" i="3" s="1"/>
  <c r="T12" i="3"/>
  <c r="W12" i="3" s="1"/>
  <c r="R12" i="3"/>
  <c r="Q12" i="3"/>
  <c r="P12" i="3"/>
  <c r="O12" i="3"/>
  <c r="V11" i="3"/>
  <c r="U11" i="3"/>
  <c r="T11" i="3"/>
  <c r="R11" i="3"/>
  <c r="Q11" i="3"/>
  <c r="O11" i="3"/>
  <c r="O10" i="3"/>
  <c r="V9" i="3"/>
  <c r="Y9" i="3" s="1"/>
  <c r="U9" i="3"/>
  <c r="X9" i="3" s="1"/>
  <c r="T9" i="3"/>
  <c r="W9" i="3" s="1"/>
  <c r="R9" i="3"/>
  <c r="Q9" i="3"/>
  <c r="P9" i="3"/>
  <c r="O9" i="3"/>
  <c r="V8" i="3"/>
  <c r="U8" i="3"/>
  <c r="T8" i="3"/>
  <c r="R8" i="3"/>
  <c r="Q8" i="3"/>
  <c r="O8" i="3"/>
  <c r="O7" i="3"/>
  <c r="V6" i="3"/>
  <c r="Y6" i="3" s="1"/>
  <c r="U6" i="3"/>
  <c r="X6" i="3" s="1"/>
  <c r="T6" i="3"/>
  <c r="W6" i="3" s="1"/>
  <c r="R6" i="3"/>
  <c r="Q6" i="3"/>
  <c r="P6" i="3"/>
  <c r="O6" i="3"/>
  <c r="V5" i="3"/>
  <c r="U5" i="3"/>
  <c r="T5" i="3"/>
  <c r="R5" i="3"/>
  <c r="Q5" i="3"/>
  <c r="O5" i="3"/>
  <c r="P3" i="3"/>
  <c r="R74" i="4"/>
  <c r="Q74" i="4"/>
  <c r="P74" i="4"/>
  <c r="V71" i="4"/>
  <c r="X71" i="4" s="1"/>
  <c r="U71" i="4"/>
  <c r="W71" i="4" s="1"/>
  <c r="S71" i="4"/>
  <c r="R71" i="4"/>
  <c r="Q71" i="4"/>
  <c r="P71" i="4"/>
  <c r="V70" i="4"/>
  <c r="U70" i="4"/>
  <c r="S70" i="4"/>
  <c r="R70" i="4"/>
  <c r="P70" i="4"/>
  <c r="P69" i="4"/>
  <c r="V63" i="4"/>
  <c r="X63" i="4" s="1"/>
  <c r="U63" i="4"/>
  <c r="W63" i="4" s="1"/>
  <c r="S63" i="4"/>
  <c r="R63" i="4"/>
  <c r="Q63" i="4"/>
  <c r="P63" i="4"/>
  <c r="V62" i="4"/>
  <c r="U62" i="4"/>
  <c r="S62" i="4"/>
  <c r="R62" i="4"/>
  <c r="P62" i="4"/>
  <c r="P61" i="4"/>
  <c r="V55" i="4"/>
  <c r="X55" i="4" s="1"/>
  <c r="U55" i="4"/>
  <c r="W55" i="4" s="1"/>
  <c r="S55" i="4"/>
  <c r="R55" i="4"/>
  <c r="Q55" i="4"/>
  <c r="P55" i="4"/>
  <c r="V54" i="4"/>
  <c r="U54" i="4"/>
  <c r="S54" i="4"/>
  <c r="R54" i="4"/>
  <c r="P54" i="4"/>
  <c r="P53" i="4"/>
  <c r="V47" i="4"/>
  <c r="X47" i="4" s="1"/>
  <c r="U47" i="4"/>
  <c r="W47" i="4" s="1"/>
  <c r="S47" i="4"/>
  <c r="R47" i="4"/>
  <c r="Q47" i="4"/>
  <c r="P47" i="4"/>
  <c r="S46" i="4"/>
  <c r="R46" i="4"/>
  <c r="P46" i="4"/>
  <c r="P45" i="4"/>
  <c r="V44" i="4"/>
  <c r="X44" i="4" s="1"/>
  <c r="U44" i="4"/>
  <c r="W44" i="4" s="1"/>
  <c r="S44" i="4"/>
  <c r="R44" i="4"/>
  <c r="Q44" i="4"/>
  <c r="P44" i="4"/>
  <c r="V43" i="4"/>
  <c r="V46" i="4" s="1"/>
  <c r="U43" i="4"/>
  <c r="U46" i="4" s="1"/>
  <c r="S43" i="4"/>
  <c r="R43" i="4"/>
  <c r="P43" i="4"/>
  <c r="P42" i="4"/>
  <c r="V36" i="4"/>
  <c r="X36" i="4" s="1"/>
  <c r="U36" i="4"/>
  <c r="W36" i="4" s="1"/>
  <c r="S36" i="4"/>
  <c r="R36" i="4"/>
  <c r="Q36" i="4"/>
  <c r="P36" i="4"/>
  <c r="V35" i="4"/>
  <c r="U35" i="4"/>
  <c r="S35" i="4"/>
  <c r="R35" i="4"/>
  <c r="P35" i="4"/>
  <c r="P34" i="4"/>
  <c r="V28" i="4"/>
  <c r="X28" i="4" s="1"/>
  <c r="U28" i="4"/>
  <c r="W28" i="4" s="1"/>
  <c r="S28" i="4"/>
  <c r="R28" i="4"/>
  <c r="Q28" i="4"/>
  <c r="P28" i="4"/>
  <c r="S27" i="4"/>
  <c r="R27" i="4"/>
  <c r="P27" i="4"/>
  <c r="P26" i="4"/>
  <c r="V25" i="4"/>
  <c r="X25" i="4" s="1"/>
  <c r="U25" i="4"/>
  <c r="W25" i="4" s="1"/>
  <c r="S25" i="4"/>
  <c r="R25" i="4"/>
  <c r="Q25" i="4"/>
  <c r="P25" i="4"/>
  <c r="V24" i="4"/>
  <c r="V27" i="4" s="1"/>
  <c r="U24" i="4"/>
  <c r="U27" i="4" s="1"/>
  <c r="S24" i="4"/>
  <c r="R24" i="4"/>
  <c r="P24" i="4"/>
  <c r="P23" i="4"/>
  <c r="V17" i="4"/>
  <c r="X17" i="4" s="1"/>
  <c r="U17" i="4"/>
  <c r="W17" i="4" s="1"/>
  <c r="S17" i="4"/>
  <c r="R17" i="4"/>
  <c r="Q17" i="4"/>
  <c r="P17" i="4"/>
  <c r="V16" i="4"/>
  <c r="U16" i="4"/>
  <c r="S16" i="4"/>
  <c r="R16" i="4"/>
  <c r="P16" i="4"/>
  <c r="P15" i="4"/>
  <c r="V9" i="4"/>
  <c r="X9" i="4" s="1"/>
  <c r="U9" i="4"/>
  <c r="W9" i="4" s="1"/>
  <c r="S9" i="4"/>
  <c r="R9" i="4"/>
  <c r="Q9" i="4"/>
  <c r="P9" i="4"/>
  <c r="V8" i="4"/>
  <c r="U8" i="4"/>
  <c r="S8" i="4"/>
  <c r="R8" i="4"/>
  <c r="P8" i="4"/>
  <c r="P7" i="4"/>
  <c r="R3" i="4"/>
  <c r="R84" i="2"/>
  <c r="Q84" i="2"/>
  <c r="P84" i="2"/>
  <c r="Y81" i="2"/>
  <c r="AD81" i="2" s="1"/>
  <c r="X81" i="2"/>
  <c r="AC81" i="2" s="1"/>
  <c r="W81" i="2"/>
  <c r="AB81" i="2" s="1"/>
  <c r="V81" i="2"/>
  <c r="AA81" i="2" s="1"/>
  <c r="U81" i="2"/>
  <c r="Z81" i="2" s="1"/>
  <c r="S81" i="2"/>
  <c r="R81" i="2"/>
  <c r="Q81" i="2"/>
  <c r="P81" i="2"/>
  <c r="Y80" i="2"/>
  <c r="X80" i="2"/>
  <c r="W80" i="2"/>
  <c r="V80" i="2"/>
  <c r="U80" i="2"/>
  <c r="S80" i="2"/>
  <c r="R80" i="2"/>
  <c r="P80" i="2"/>
  <c r="P79" i="2"/>
  <c r="Y73" i="2"/>
  <c r="AD73" i="2" s="1"/>
  <c r="X73" i="2"/>
  <c r="AC73" i="2" s="1"/>
  <c r="W73" i="2"/>
  <c r="AB73" i="2" s="1"/>
  <c r="V73" i="2"/>
  <c r="AA73" i="2" s="1"/>
  <c r="U73" i="2"/>
  <c r="Z73" i="2" s="1"/>
  <c r="S73" i="2"/>
  <c r="R73" i="2"/>
  <c r="Q73" i="2"/>
  <c r="P73" i="2"/>
  <c r="Y72" i="2"/>
  <c r="X72" i="2"/>
  <c r="W72" i="2"/>
  <c r="V72" i="2"/>
  <c r="U72" i="2"/>
  <c r="S72" i="2"/>
  <c r="R72" i="2"/>
  <c r="P72" i="2"/>
  <c r="P71" i="2"/>
  <c r="Y65" i="2"/>
  <c r="AD65" i="2" s="1"/>
  <c r="X65" i="2"/>
  <c r="AC65" i="2" s="1"/>
  <c r="W65" i="2"/>
  <c r="AB65" i="2" s="1"/>
  <c r="V65" i="2"/>
  <c r="AA65" i="2" s="1"/>
  <c r="U65" i="2"/>
  <c r="Z65" i="2" s="1"/>
  <c r="S65" i="2"/>
  <c r="R65" i="2"/>
  <c r="Q65" i="2"/>
  <c r="P65" i="2"/>
  <c r="Y64" i="2"/>
  <c r="X64" i="2"/>
  <c r="W64" i="2"/>
  <c r="V64" i="2"/>
  <c r="U64" i="2"/>
  <c r="S64" i="2"/>
  <c r="R64" i="2"/>
  <c r="P64" i="2"/>
  <c r="P63" i="2"/>
  <c r="Y57" i="2"/>
  <c r="AD57" i="2" s="1"/>
  <c r="X57" i="2"/>
  <c r="AC57" i="2" s="1"/>
  <c r="W57" i="2"/>
  <c r="AB57" i="2" s="1"/>
  <c r="V57" i="2"/>
  <c r="AA57" i="2" s="1"/>
  <c r="U57" i="2"/>
  <c r="Z57" i="2" s="1"/>
  <c r="S57" i="2"/>
  <c r="R57" i="2"/>
  <c r="Q57" i="2"/>
  <c r="P57" i="2"/>
  <c r="Y56" i="2"/>
  <c r="X56" i="2"/>
  <c r="W56" i="2"/>
  <c r="V56" i="2"/>
  <c r="U56" i="2"/>
  <c r="S56" i="2"/>
  <c r="R56" i="2"/>
  <c r="P56" i="2"/>
  <c r="P55" i="2"/>
  <c r="Y49" i="2"/>
  <c r="AD49" i="2" s="1"/>
  <c r="X49" i="2"/>
  <c r="AC49" i="2" s="1"/>
  <c r="W49" i="2"/>
  <c r="AB49" i="2" s="1"/>
  <c r="V49" i="2"/>
  <c r="AA49" i="2" s="1"/>
  <c r="U49" i="2"/>
  <c r="Z49" i="2" s="1"/>
  <c r="S49" i="2"/>
  <c r="R49" i="2"/>
  <c r="Q49" i="2"/>
  <c r="P49" i="2"/>
  <c r="Y48" i="2"/>
  <c r="X48" i="2"/>
  <c r="W48" i="2"/>
  <c r="V48" i="2"/>
  <c r="U48" i="2"/>
  <c r="S48" i="2"/>
  <c r="R48" i="2"/>
  <c r="P48" i="2"/>
  <c r="P47" i="2"/>
  <c r="Y41" i="2"/>
  <c r="AD41" i="2" s="1"/>
  <c r="X41" i="2"/>
  <c r="AC41" i="2" s="1"/>
  <c r="W41" i="2"/>
  <c r="AB41" i="2" s="1"/>
  <c r="V41" i="2"/>
  <c r="AA41" i="2" s="1"/>
  <c r="U41" i="2"/>
  <c r="Z41" i="2" s="1"/>
  <c r="S41" i="2"/>
  <c r="R41" i="2"/>
  <c r="Q41" i="2"/>
  <c r="P41" i="2"/>
  <c r="Y40" i="2"/>
  <c r="X40" i="2"/>
  <c r="W40" i="2"/>
  <c r="V40" i="2"/>
  <c r="U40" i="2"/>
  <c r="S40" i="2"/>
  <c r="R40" i="2"/>
  <c r="P40" i="2"/>
  <c r="P39" i="2"/>
  <c r="Y33" i="2"/>
  <c r="AD33" i="2" s="1"/>
  <c r="X33" i="2"/>
  <c r="AC33" i="2" s="1"/>
  <c r="W33" i="2"/>
  <c r="AB33" i="2" s="1"/>
  <c r="V33" i="2"/>
  <c r="AA33" i="2" s="1"/>
  <c r="U33" i="2"/>
  <c r="Z33" i="2" s="1"/>
  <c r="S33" i="2"/>
  <c r="R33" i="2"/>
  <c r="Q33" i="2"/>
  <c r="P33" i="2"/>
  <c r="Y32" i="2"/>
  <c r="X32" i="2"/>
  <c r="W32" i="2"/>
  <c r="V32" i="2"/>
  <c r="U32" i="2"/>
  <c r="S32" i="2"/>
  <c r="R32" i="2"/>
  <c r="P32" i="2"/>
  <c r="P31" i="2"/>
  <c r="Y25" i="2"/>
  <c r="AD25" i="2" s="1"/>
  <c r="X25" i="2"/>
  <c r="AC25" i="2" s="1"/>
  <c r="W25" i="2"/>
  <c r="AB25" i="2" s="1"/>
  <c r="V25" i="2"/>
  <c r="AA25" i="2" s="1"/>
  <c r="U25" i="2"/>
  <c r="Z25" i="2" s="1"/>
  <c r="S25" i="2"/>
  <c r="R25" i="2"/>
  <c r="Q25" i="2"/>
  <c r="P25" i="2"/>
  <c r="Y24" i="2"/>
  <c r="X24" i="2"/>
  <c r="W24" i="2"/>
  <c r="V24" i="2"/>
  <c r="U24" i="2"/>
  <c r="S24" i="2"/>
  <c r="R24" i="2"/>
  <c r="P24" i="2"/>
  <c r="P23" i="2"/>
  <c r="Y17" i="2"/>
  <c r="AD17" i="2" s="1"/>
  <c r="X17" i="2"/>
  <c r="AC17" i="2" s="1"/>
  <c r="W17" i="2"/>
  <c r="AB17" i="2" s="1"/>
  <c r="V17" i="2"/>
  <c r="AA17" i="2" s="1"/>
  <c r="U17" i="2"/>
  <c r="Z17" i="2" s="1"/>
  <c r="S17" i="2"/>
  <c r="R17" i="2"/>
  <c r="Q17" i="2"/>
  <c r="P17" i="2"/>
  <c r="Y16" i="2"/>
  <c r="X16" i="2"/>
  <c r="W16" i="2"/>
  <c r="V16" i="2"/>
  <c r="U16" i="2"/>
  <c r="S16" i="2"/>
  <c r="R16" i="2"/>
  <c r="P16" i="2"/>
  <c r="P15" i="2"/>
  <c r="Y9" i="2"/>
  <c r="AD9" i="2" s="1"/>
  <c r="X9" i="2"/>
  <c r="AC9" i="2" s="1"/>
  <c r="W9" i="2"/>
  <c r="AB9" i="2" s="1"/>
  <c r="V9" i="2"/>
  <c r="AA9" i="2" s="1"/>
  <c r="U9" i="2"/>
  <c r="Z9" i="2" s="1"/>
  <c r="S9" i="2"/>
  <c r="R9" i="2"/>
  <c r="Q9" i="2"/>
  <c r="P9" i="2"/>
  <c r="Y8" i="2"/>
  <c r="X8" i="2"/>
  <c r="W8" i="2"/>
  <c r="V8" i="2"/>
  <c r="U8" i="2"/>
  <c r="S8" i="2"/>
  <c r="R8" i="2"/>
  <c r="P8" i="2"/>
  <c r="P7" i="2"/>
  <c r="Q4" i="2"/>
  <c r="R39" i="5"/>
  <c r="Q39" i="5"/>
  <c r="P39" i="5"/>
  <c r="Z36" i="5"/>
  <c r="AF36" i="5" s="1"/>
  <c r="Y36" i="5"/>
  <c r="AE36" i="5" s="1"/>
  <c r="X36" i="5"/>
  <c r="AD36" i="5" s="1"/>
  <c r="W36" i="5"/>
  <c r="AC36" i="5" s="1"/>
  <c r="V36" i="5"/>
  <c r="AB36" i="5" s="1"/>
  <c r="U36" i="5"/>
  <c r="AA36" i="5" s="1"/>
  <c r="S36" i="5"/>
  <c r="R36" i="5"/>
  <c r="Q36" i="5"/>
  <c r="P36" i="5"/>
  <c r="Z35" i="5"/>
  <c r="Y35" i="5"/>
  <c r="X35" i="5"/>
  <c r="W35" i="5"/>
  <c r="V35" i="5"/>
  <c r="U35" i="5"/>
  <c r="S35" i="5"/>
  <c r="R35" i="5"/>
  <c r="P35" i="5"/>
  <c r="P34" i="5"/>
  <c r="Z33" i="5"/>
  <c r="AF33" i="5" s="1"/>
  <c r="Y33" i="5"/>
  <c r="AE33" i="5" s="1"/>
  <c r="X33" i="5"/>
  <c r="AD33" i="5" s="1"/>
  <c r="W33" i="5"/>
  <c r="AC33" i="5" s="1"/>
  <c r="V33" i="5"/>
  <c r="AB33" i="5" s="1"/>
  <c r="U33" i="5"/>
  <c r="AA33" i="5" s="1"/>
  <c r="S33" i="5"/>
  <c r="R33" i="5"/>
  <c r="Q33" i="5"/>
  <c r="P33" i="5"/>
  <c r="Z32" i="5"/>
  <c r="Y32" i="5"/>
  <c r="X32" i="5"/>
  <c r="W32" i="5"/>
  <c r="V32" i="5"/>
  <c r="U32" i="5"/>
  <c r="S32" i="5"/>
  <c r="R32" i="5"/>
  <c r="P32" i="5"/>
  <c r="P31" i="5"/>
  <c r="Z30" i="5"/>
  <c r="AF30" i="5" s="1"/>
  <c r="Y30" i="5"/>
  <c r="AE30" i="5" s="1"/>
  <c r="X30" i="5"/>
  <c r="AD30" i="5" s="1"/>
  <c r="W30" i="5"/>
  <c r="AC30" i="5" s="1"/>
  <c r="V30" i="5"/>
  <c r="AB30" i="5" s="1"/>
  <c r="U30" i="5"/>
  <c r="AA30" i="5" s="1"/>
  <c r="S30" i="5"/>
  <c r="R30" i="5"/>
  <c r="Q30" i="5"/>
  <c r="P30" i="5"/>
  <c r="Z29" i="5"/>
  <c r="Y29" i="5"/>
  <c r="X29" i="5"/>
  <c r="W29" i="5"/>
  <c r="V29" i="5"/>
  <c r="U29" i="5"/>
  <c r="S29" i="5"/>
  <c r="R29" i="5"/>
  <c r="P29" i="5"/>
  <c r="P28" i="5"/>
  <c r="Z27" i="5"/>
  <c r="AF27" i="5" s="1"/>
  <c r="Y27" i="5"/>
  <c r="AE27" i="5" s="1"/>
  <c r="X27" i="5"/>
  <c r="AD27" i="5" s="1"/>
  <c r="W27" i="5"/>
  <c r="AC27" i="5" s="1"/>
  <c r="V27" i="5"/>
  <c r="AB27" i="5" s="1"/>
  <c r="U27" i="5"/>
  <c r="AA27" i="5" s="1"/>
  <c r="S27" i="5"/>
  <c r="R27" i="5"/>
  <c r="Q27" i="5"/>
  <c r="P27" i="5"/>
  <c r="Z26" i="5"/>
  <c r="Y26" i="5"/>
  <c r="X26" i="5"/>
  <c r="W26" i="5"/>
  <c r="V26" i="5"/>
  <c r="U26" i="5"/>
  <c r="S26" i="5"/>
  <c r="R26" i="5"/>
  <c r="P26" i="5"/>
  <c r="P25" i="5"/>
  <c r="Z24" i="5"/>
  <c r="AF24" i="5" s="1"/>
  <c r="Y24" i="5"/>
  <c r="AE24" i="5" s="1"/>
  <c r="X24" i="5"/>
  <c r="AD24" i="5" s="1"/>
  <c r="W24" i="5"/>
  <c r="AC24" i="5" s="1"/>
  <c r="V24" i="5"/>
  <c r="AB24" i="5" s="1"/>
  <c r="U24" i="5"/>
  <c r="AA24" i="5" s="1"/>
  <c r="S24" i="5"/>
  <c r="R24" i="5"/>
  <c r="Q24" i="5"/>
  <c r="P24" i="5"/>
  <c r="Z23" i="5"/>
  <c r="Y23" i="5"/>
  <c r="X23" i="5"/>
  <c r="W23" i="5"/>
  <c r="V23" i="5"/>
  <c r="U23" i="5"/>
  <c r="S23" i="5"/>
  <c r="R23" i="5"/>
  <c r="P23" i="5"/>
  <c r="P22" i="5"/>
  <c r="Z21" i="5"/>
  <c r="AF21" i="5" s="1"/>
  <c r="Y21" i="5"/>
  <c r="AE21" i="5" s="1"/>
  <c r="X21" i="5"/>
  <c r="AD21" i="5" s="1"/>
  <c r="W21" i="5"/>
  <c r="AC21" i="5" s="1"/>
  <c r="V21" i="5"/>
  <c r="AB21" i="5" s="1"/>
  <c r="U21" i="5"/>
  <c r="AA21" i="5" s="1"/>
  <c r="S21" i="5"/>
  <c r="R21" i="5"/>
  <c r="Q21" i="5"/>
  <c r="P21" i="5"/>
  <c r="Z20" i="5"/>
  <c r="Y20" i="5"/>
  <c r="X20" i="5"/>
  <c r="W20" i="5"/>
  <c r="V20" i="5"/>
  <c r="U20" i="5"/>
  <c r="S20" i="5"/>
  <c r="R20" i="5"/>
  <c r="P20" i="5"/>
  <c r="P19" i="5"/>
  <c r="Z18" i="5"/>
  <c r="AF18" i="5" s="1"/>
  <c r="Y18" i="5"/>
  <c r="AE18" i="5" s="1"/>
  <c r="X18" i="5"/>
  <c r="AD18" i="5" s="1"/>
  <c r="W18" i="5"/>
  <c r="AC18" i="5" s="1"/>
  <c r="V18" i="5"/>
  <c r="AB18" i="5" s="1"/>
  <c r="U18" i="5"/>
  <c r="AA18" i="5" s="1"/>
  <c r="S18" i="5"/>
  <c r="R18" i="5"/>
  <c r="Q18" i="5"/>
  <c r="P18" i="5"/>
  <c r="Z17" i="5"/>
  <c r="Y17" i="5"/>
  <c r="X17" i="5"/>
  <c r="W17" i="5"/>
  <c r="V17" i="5"/>
  <c r="U17" i="5"/>
  <c r="S17" i="5"/>
  <c r="R17" i="5"/>
  <c r="P17" i="5"/>
  <c r="P16" i="5"/>
  <c r="Z15" i="5"/>
  <c r="AF15" i="5" s="1"/>
  <c r="Y15" i="5"/>
  <c r="AE15" i="5" s="1"/>
  <c r="X15" i="5"/>
  <c r="AD15" i="5" s="1"/>
  <c r="W15" i="5"/>
  <c r="AC15" i="5" s="1"/>
  <c r="V15" i="5"/>
  <c r="AB15" i="5" s="1"/>
  <c r="U15" i="5"/>
  <c r="AA15" i="5" s="1"/>
  <c r="S15" i="5"/>
  <c r="R15" i="5"/>
  <c r="Q15" i="5"/>
  <c r="P15" i="5"/>
  <c r="Z14" i="5"/>
  <c r="Y14" i="5"/>
  <c r="X14" i="5"/>
  <c r="W14" i="5"/>
  <c r="V14" i="5"/>
  <c r="U14" i="5"/>
  <c r="S14" i="5"/>
  <c r="R14" i="5"/>
  <c r="P14" i="5"/>
  <c r="P13" i="5"/>
  <c r="Z12" i="5"/>
  <c r="AF12" i="5" s="1"/>
  <c r="Y12" i="5"/>
  <c r="AE12" i="5" s="1"/>
  <c r="X12" i="5"/>
  <c r="AD12" i="5" s="1"/>
  <c r="W12" i="5"/>
  <c r="AC12" i="5" s="1"/>
  <c r="V12" i="5"/>
  <c r="AB12" i="5" s="1"/>
  <c r="U12" i="5"/>
  <c r="AA12" i="5" s="1"/>
  <c r="S12" i="5"/>
  <c r="R12" i="5"/>
  <c r="Q12" i="5"/>
  <c r="P12" i="5"/>
  <c r="Z11" i="5"/>
  <c r="Y11" i="5"/>
  <c r="X11" i="5"/>
  <c r="W11" i="5"/>
  <c r="V11" i="5"/>
  <c r="U11" i="5"/>
  <c r="S11" i="5"/>
  <c r="R11" i="5"/>
  <c r="P11" i="5"/>
  <c r="P10" i="5"/>
  <c r="Z9" i="5"/>
  <c r="AF9" i="5" s="1"/>
  <c r="Y9" i="5"/>
  <c r="AE9" i="5" s="1"/>
  <c r="X9" i="5"/>
  <c r="AD9" i="5" s="1"/>
  <c r="W9" i="5"/>
  <c r="AC9" i="5" s="1"/>
  <c r="V9" i="5"/>
  <c r="AB9" i="5" s="1"/>
  <c r="U9" i="5"/>
  <c r="AA9" i="5" s="1"/>
  <c r="S9" i="5"/>
  <c r="R9" i="5"/>
  <c r="Q9" i="5"/>
  <c r="P9" i="5"/>
  <c r="Z8" i="5"/>
  <c r="Y8" i="5"/>
  <c r="X8" i="5"/>
  <c r="W8" i="5"/>
  <c r="V8" i="5"/>
  <c r="U8" i="5"/>
  <c r="S8" i="5"/>
  <c r="R8" i="5"/>
  <c r="P8" i="5"/>
  <c r="P7" i="5"/>
  <c r="Z6" i="5"/>
  <c r="AF6" i="5" s="1"/>
  <c r="Y6" i="5"/>
  <c r="AE6" i="5" s="1"/>
  <c r="X6" i="5"/>
  <c r="AD6" i="5" s="1"/>
  <c r="W6" i="5"/>
  <c r="AC6" i="5" s="1"/>
  <c r="V6" i="5"/>
  <c r="AB6" i="5" s="1"/>
  <c r="U6" i="5"/>
  <c r="AA6" i="5" s="1"/>
  <c r="S6" i="5"/>
  <c r="R6" i="5"/>
  <c r="Q6" i="5"/>
  <c r="P6" i="5"/>
  <c r="Z5" i="5"/>
  <c r="Y5" i="5"/>
  <c r="X5" i="5"/>
  <c r="W5" i="5"/>
  <c r="V5" i="5"/>
  <c r="U5" i="5"/>
  <c r="S5" i="5"/>
  <c r="R5" i="5"/>
  <c r="P5" i="5"/>
  <c r="P4" i="5"/>
  <c r="R39" i="1"/>
  <c r="Q39" i="1"/>
  <c r="P39" i="1"/>
  <c r="V36" i="1"/>
  <c r="X36" i="1" s="1"/>
  <c r="U36" i="1"/>
  <c r="W36" i="1" s="1"/>
  <c r="S36" i="1"/>
  <c r="R36" i="1"/>
  <c r="Q36" i="1"/>
  <c r="P36" i="1"/>
  <c r="V35" i="1"/>
  <c r="U35" i="1"/>
  <c r="S35" i="1"/>
  <c r="R35" i="1"/>
  <c r="P35" i="1"/>
  <c r="P34" i="1"/>
  <c r="V33" i="1"/>
  <c r="X33" i="1" s="1"/>
  <c r="U33" i="1"/>
  <c r="W33" i="1" s="1"/>
  <c r="S33" i="1"/>
  <c r="R33" i="1"/>
  <c r="Q33" i="1"/>
  <c r="P33" i="1"/>
  <c r="V32" i="1"/>
  <c r="U32" i="1"/>
  <c r="S32" i="1"/>
  <c r="R32" i="1"/>
  <c r="P32" i="1"/>
  <c r="P31" i="1"/>
  <c r="V30" i="1"/>
  <c r="X30" i="1" s="1"/>
  <c r="U30" i="1"/>
  <c r="W30" i="1" s="1"/>
  <c r="S30" i="1"/>
  <c r="R30" i="1"/>
  <c r="Q30" i="1"/>
  <c r="P30" i="1"/>
  <c r="V29" i="1"/>
  <c r="U29" i="1"/>
  <c r="S29" i="1"/>
  <c r="R29" i="1"/>
  <c r="P29" i="1"/>
  <c r="P28" i="1"/>
  <c r="V27" i="1"/>
  <c r="X27" i="1" s="1"/>
  <c r="U27" i="1"/>
  <c r="W27" i="1" s="1"/>
  <c r="S27" i="1"/>
  <c r="R27" i="1"/>
  <c r="Q27" i="1"/>
  <c r="P27" i="1"/>
  <c r="V26" i="1"/>
  <c r="U26" i="1"/>
  <c r="S26" i="1"/>
  <c r="R26" i="1"/>
  <c r="P26" i="1"/>
  <c r="P25" i="1"/>
  <c r="V24" i="1"/>
  <c r="X24" i="1" s="1"/>
  <c r="U24" i="1"/>
  <c r="W24" i="1" s="1"/>
  <c r="S24" i="1"/>
  <c r="R24" i="1"/>
  <c r="Q24" i="1"/>
  <c r="P24" i="1"/>
  <c r="V23" i="1"/>
  <c r="U23" i="1"/>
  <c r="S23" i="1"/>
  <c r="R23" i="1"/>
  <c r="P23" i="1"/>
  <c r="P22" i="1"/>
  <c r="V21" i="1"/>
  <c r="X21" i="1" s="1"/>
  <c r="U21" i="1"/>
  <c r="W21" i="1" s="1"/>
  <c r="S21" i="1"/>
  <c r="R21" i="1"/>
  <c r="Q21" i="1"/>
  <c r="P21" i="1"/>
  <c r="V20" i="1"/>
  <c r="U20" i="1"/>
  <c r="S20" i="1"/>
  <c r="R20" i="1"/>
  <c r="P20" i="1"/>
  <c r="P19" i="1"/>
  <c r="V18" i="1"/>
  <c r="X18" i="1" s="1"/>
  <c r="U18" i="1"/>
  <c r="W18" i="1" s="1"/>
  <c r="S18" i="1"/>
  <c r="R18" i="1"/>
  <c r="Q18" i="1"/>
  <c r="P18" i="1"/>
  <c r="V17" i="1"/>
  <c r="U17" i="1"/>
  <c r="S17" i="1"/>
  <c r="R17" i="1"/>
  <c r="P17" i="1"/>
  <c r="P16" i="1"/>
  <c r="V15" i="1"/>
  <c r="X15" i="1" s="1"/>
  <c r="U15" i="1"/>
  <c r="W15" i="1" s="1"/>
  <c r="S15" i="1"/>
  <c r="R15" i="1"/>
  <c r="Q15" i="1"/>
  <c r="P15" i="1"/>
  <c r="V14" i="1"/>
  <c r="U14" i="1"/>
  <c r="S14" i="1"/>
  <c r="R14" i="1"/>
  <c r="P14" i="1"/>
  <c r="P13" i="1"/>
  <c r="V12" i="1"/>
  <c r="X12" i="1" s="1"/>
  <c r="U12" i="1"/>
  <c r="W12" i="1" s="1"/>
  <c r="S12" i="1"/>
  <c r="R12" i="1"/>
  <c r="Q12" i="1"/>
  <c r="P12" i="1"/>
  <c r="V11" i="1"/>
  <c r="U11" i="1"/>
  <c r="S11" i="1"/>
  <c r="R11" i="1"/>
  <c r="P11" i="1"/>
  <c r="P10" i="1"/>
  <c r="Q3" i="1" s="1"/>
  <c r="V9" i="1"/>
  <c r="X9" i="1" s="1"/>
  <c r="U9" i="1"/>
  <c r="W9" i="1" s="1"/>
  <c r="S9" i="1"/>
  <c r="R9" i="1"/>
  <c r="Q9" i="1"/>
  <c r="P9" i="1"/>
  <c r="V8" i="1"/>
  <c r="U8" i="1"/>
  <c r="S8" i="1"/>
  <c r="R8" i="1"/>
  <c r="P8" i="1"/>
  <c r="P7" i="1"/>
  <c r="V6" i="1"/>
  <c r="X6" i="1" s="1"/>
  <c r="U6" i="1"/>
  <c r="W6" i="1" s="1"/>
  <c r="S6" i="1"/>
  <c r="R6" i="1"/>
  <c r="Q6" i="1"/>
  <c r="P6" i="1"/>
  <c r="V5" i="1"/>
  <c r="U5" i="1"/>
  <c r="S5" i="1"/>
  <c r="R5" i="1"/>
  <c r="P5" i="1"/>
  <c r="P4" i="1"/>
  <c r="Q37" i="9"/>
  <c r="P37" i="9"/>
  <c r="Q34" i="9"/>
  <c r="P34" i="9"/>
  <c r="Q31" i="9"/>
  <c r="P31" i="9"/>
  <c r="Q28" i="9"/>
  <c r="P28" i="9"/>
  <c r="Q25" i="9"/>
  <c r="P25" i="9"/>
  <c r="Q22" i="9"/>
  <c r="P22" i="9"/>
  <c r="Q19" i="9"/>
  <c r="P19" i="9"/>
  <c r="Q16" i="9"/>
  <c r="P16" i="9"/>
  <c r="Q13" i="9"/>
  <c r="P13" i="9"/>
  <c r="Q10" i="9"/>
  <c r="P10" i="9"/>
  <c r="Q7" i="9"/>
  <c r="P7" i="9"/>
  <c r="Q4" i="9"/>
  <c r="P4" i="9"/>
  <c r="R4" i="9" s="1"/>
  <c r="Y84" i="8"/>
  <c r="X84" i="8"/>
  <c r="W84" i="8"/>
  <c r="AA79" i="8"/>
  <c r="Z79" i="8"/>
  <c r="Y79" i="8"/>
  <c r="X79" i="8"/>
  <c r="W79" i="8"/>
  <c r="AA78" i="8"/>
  <c r="Z78" i="8"/>
  <c r="Y78" i="8"/>
  <c r="X78" i="8"/>
  <c r="W78" i="8"/>
  <c r="Z75" i="8"/>
  <c r="Y75" i="8"/>
  <c r="X75" i="8"/>
  <c r="W75" i="8"/>
  <c r="Z74" i="8"/>
  <c r="Y74" i="8"/>
  <c r="W74" i="8"/>
  <c r="W73" i="8"/>
  <c r="AA71" i="8"/>
  <c r="Z71" i="8"/>
  <c r="Y71" i="8"/>
  <c r="X71" i="8"/>
  <c r="W71" i="8"/>
  <c r="AA70" i="8"/>
  <c r="Z70" i="8"/>
  <c r="Y70" i="8"/>
  <c r="X70" i="8"/>
  <c r="W70" i="8"/>
  <c r="Z67" i="8"/>
  <c r="Y67" i="8"/>
  <c r="X67" i="8"/>
  <c r="W67" i="8"/>
  <c r="Z66" i="8"/>
  <c r="Y66" i="8"/>
  <c r="W66" i="8"/>
  <c r="W65" i="8"/>
  <c r="AA63" i="8"/>
  <c r="Z63" i="8"/>
  <c r="Y63" i="8"/>
  <c r="X63" i="8"/>
  <c r="W63" i="8"/>
  <c r="AA62" i="8"/>
  <c r="Z62" i="8"/>
  <c r="Y62" i="8"/>
  <c r="X62" i="8"/>
  <c r="W62" i="8"/>
  <c r="Z59" i="8"/>
  <c r="Y59" i="8"/>
  <c r="X59" i="8"/>
  <c r="W59" i="8"/>
  <c r="Z58" i="8"/>
  <c r="Y58" i="8"/>
  <c r="W58" i="8"/>
  <c r="W57" i="8"/>
  <c r="AA55" i="8"/>
  <c r="Z55" i="8"/>
  <c r="Y55" i="8"/>
  <c r="X55" i="8"/>
  <c r="W55" i="8"/>
  <c r="AA54" i="8"/>
  <c r="Z54" i="8"/>
  <c r="Y54" i="8"/>
  <c r="X54" i="8"/>
  <c r="W54" i="8"/>
  <c r="Z51" i="8"/>
  <c r="Y51" i="8"/>
  <c r="X51" i="8"/>
  <c r="W51" i="8"/>
  <c r="Z50" i="8"/>
  <c r="Y50" i="8"/>
  <c r="W50" i="8"/>
  <c r="W49" i="8"/>
  <c r="AA47" i="8"/>
  <c r="Z47" i="8"/>
  <c r="Y47" i="8"/>
  <c r="X47" i="8"/>
  <c r="W47" i="8"/>
  <c r="AA46" i="8"/>
  <c r="Z46" i="8"/>
  <c r="Y46" i="8"/>
  <c r="X46" i="8"/>
  <c r="W46" i="8"/>
  <c r="Z43" i="8"/>
  <c r="Y43" i="8"/>
  <c r="X43" i="8"/>
  <c r="W43" i="8"/>
  <c r="Z42" i="8"/>
  <c r="Y42" i="8"/>
  <c r="W42" i="8"/>
  <c r="W41" i="8"/>
  <c r="AA39" i="8"/>
  <c r="Z39" i="8"/>
  <c r="Y39" i="8"/>
  <c r="X39" i="8"/>
  <c r="W39" i="8"/>
  <c r="AA38" i="8"/>
  <c r="Z38" i="8"/>
  <c r="Y38" i="8"/>
  <c r="X38" i="8"/>
  <c r="W38" i="8"/>
  <c r="Z35" i="8"/>
  <c r="Y35" i="8"/>
  <c r="X35" i="8"/>
  <c r="W35" i="8"/>
  <c r="Z34" i="8"/>
  <c r="Y34" i="8"/>
  <c r="W34" i="8"/>
  <c r="W33" i="8"/>
  <c r="AA31" i="8"/>
  <c r="Z31" i="8"/>
  <c r="Y31" i="8"/>
  <c r="X31" i="8"/>
  <c r="W31" i="8"/>
  <c r="AA30" i="8"/>
  <c r="Z30" i="8"/>
  <c r="Y30" i="8"/>
  <c r="X30" i="8"/>
  <c r="W30" i="8"/>
  <c r="Z27" i="8"/>
  <c r="Y27" i="8"/>
  <c r="X27" i="8"/>
  <c r="W27" i="8"/>
  <c r="Z26" i="8"/>
  <c r="Y26" i="8"/>
  <c r="W26" i="8"/>
  <c r="W25" i="8"/>
  <c r="AA23" i="8"/>
  <c r="Z23" i="8"/>
  <c r="Y23" i="8"/>
  <c r="X23" i="8"/>
  <c r="W23" i="8"/>
  <c r="AA22" i="8"/>
  <c r="Z22" i="8"/>
  <c r="Y22" i="8"/>
  <c r="X22" i="8"/>
  <c r="W22" i="8"/>
  <c r="Z19" i="8"/>
  <c r="Y19" i="8"/>
  <c r="X19" i="8"/>
  <c r="W19" i="8"/>
  <c r="Z18" i="8"/>
  <c r="Y18" i="8"/>
  <c r="W18" i="8"/>
  <c r="W17" i="8"/>
  <c r="AA15" i="8"/>
  <c r="Z15" i="8"/>
  <c r="Y15" i="8"/>
  <c r="X15" i="8"/>
  <c r="W15" i="8"/>
  <c r="AA14" i="8"/>
  <c r="Z14" i="8"/>
  <c r="Y14" i="8"/>
  <c r="X14" i="8"/>
  <c r="W14" i="8"/>
  <c r="Z11" i="8"/>
  <c r="Y11" i="8"/>
  <c r="X11" i="8"/>
  <c r="W11" i="8"/>
  <c r="Z10" i="8"/>
  <c r="Y10" i="8"/>
  <c r="W10" i="8"/>
  <c r="W9" i="8"/>
  <c r="AA7" i="8"/>
  <c r="Z7" i="8"/>
  <c r="Y7" i="8"/>
  <c r="X7" i="8"/>
  <c r="W7" i="8"/>
  <c r="AA6" i="8"/>
  <c r="Z6" i="8"/>
  <c r="Y6" i="8"/>
  <c r="X6" i="8"/>
  <c r="W6" i="8"/>
  <c r="Z3" i="8"/>
  <c r="Y3" i="8"/>
  <c r="X3" i="8"/>
  <c r="W3" i="8"/>
  <c r="Z2" i="8"/>
  <c r="Y2" i="8"/>
  <c r="W2" i="8"/>
  <c r="W1" i="8"/>
  <c r="Q39" i="7"/>
  <c r="P39" i="7"/>
  <c r="O39" i="7"/>
  <c r="V36" i="7"/>
  <c r="U36" i="7"/>
  <c r="T36" i="7"/>
  <c r="R36" i="7"/>
  <c r="Q36" i="7"/>
  <c r="P36" i="7"/>
  <c r="O36" i="7"/>
  <c r="V35" i="7"/>
  <c r="U35" i="7"/>
  <c r="T35" i="7"/>
  <c r="R35" i="7"/>
  <c r="Q35" i="7"/>
  <c r="O35" i="7"/>
  <c r="O34" i="7"/>
  <c r="V33" i="7"/>
  <c r="U33" i="7"/>
  <c r="T33" i="7"/>
  <c r="R33" i="7"/>
  <c r="Q33" i="7"/>
  <c r="P33" i="7"/>
  <c r="O33" i="7"/>
  <c r="V32" i="7"/>
  <c r="U32" i="7"/>
  <c r="T32" i="7"/>
  <c r="R32" i="7"/>
  <c r="Q32" i="7"/>
  <c r="O32" i="7"/>
  <c r="O31" i="7"/>
  <c r="V30" i="7"/>
  <c r="U30" i="7"/>
  <c r="T30" i="7"/>
  <c r="R30" i="7"/>
  <c r="Q30" i="7"/>
  <c r="P30" i="7"/>
  <c r="O30" i="7"/>
  <c r="V29" i="7"/>
  <c r="U29" i="7"/>
  <c r="T29" i="7"/>
  <c r="R29" i="7"/>
  <c r="Q29" i="7"/>
  <c r="O29" i="7"/>
  <c r="O28" i="7"/>
  <c r="V27" i="7"/>
  <c r="U27" i="7"/>
  <c r="T27" i="7"/>
  <c r="R27" i="7"/>
  <c r="Q27" i="7"/>
  <c r="P27" i="7"/>
  <c r="O27" i="7"/>
  <c r="V26" i="7"/>
  <c r="U26" i="7"/>
  <c r="T26" i="7"/>
  <c r="R26" i="7"/>
  <c r="Q26" i="7"/>
  <c r="O26" i="7"/>
  <c r="O25" i="7"/>
  <c r="V24" i="7"/>
  <c r="U24" i="7"/>
  <c r="T24" i="7"/>
  <c r="R24" i="7"/>
  <c r="Q24" i="7"/>
  <c r="P24" i="7"/>
  <c r="O24" i="7"/>
  <c r="V23" i="7"/>
  <c r="U23" i="7"/>
  <c r="T23" i="7"/>
  <c r="R23" i="7"/>
  <c r="Q23" i="7"/>
  <c r="O23" i="7"/>
  <c r="O22" i="7"/>
  <c r="V21" i="7"/>
  <c r="U21" i="7"/>
  <c r="T21" i="7"/>
  <c r="R21" i="7"/>
  <c r="Q21" i="7"/>
  <c r="P21" i="7"/>
  <c r="O21" i="7"/>
  <c r="V20" i="7"/>
  <c r="U20" i="7"/>
  <c r="T20" i="7"/>
  <c r="R20" i="7"/>
  <c r="Q20" i="7"/>
  <c r="O20" i="7"/>
  <c r="O19" i="7"/>
  <c r="V18" i="7"/>
  <c r="U18" i="7"/>
  <c r="T18" i="7"/>
  <c r="R18" i="7"/>
  <c r="Q18" i="7"/>
  <c r="P18" i="7"/>
  <c r="O18" i="7"/>
  <c r="V17" i="7"/>
  <c r="U17" i="7"/>
  <c r="T17" i="7"/>
  <c r="R17" i="7"/>
  <c r="Q17" i="7"/>
  <c r="O17" i="7"/>
  <c r="O16" i="7"/>
  <c r="V15" i="7"/>
  <c r="U15" i="7"/>
  <c r="T15" i="7"/>
  <c r="R15" i="7"/>
  <c r="Q15" i="7"/>
  <c r="P15" i="7"/>
  <c r="O15" i="7"/>
  <c r="V14" i="7"/>
  <c r="U14" i="7"/>
  <c r="T14" i="7"/>
  <c r="R14" i="7"/>
  <c r="Q14" i="7"/>
  <c r="O14" i="7"/>
  <c r="O13" i="7"/>
  <c r="V12" i="7"/>
  <c r="U12" i="7"/>
  <c r="T12" i="7"/>
  <c r="R12" i="7"/>
  <c r="Q12" i="7"/>
  <c r="P12" i="7"/>
  <c r="O12" i="7"/>
  <c r="V11" i="7"/>
  <c r="U11" i="7"/>
  <c r="T11" i="7"/>
  <c r="R11" i="7"/>
  <c r="Q11" i="7"/>
  <c r="O11" i="7"/>
  <c r="O10" i="7"/>
  <c r="V6" i="7"/>
  <c r="U6" i="7"/>
  <c r="T6" i="7"/>
  <c r="R6" i="7"/>
  <c r="Q6" i="7"/>
  <c r="P6" i="7"/>
  <c r="O6" i="7"/>
  <c r="V5" i="7"/>
  <c r="U5" i="7"/>
  <c r="T5" i="7"/>
  <c r="R5" i="7"/>
  <c r="Q5" i="7"/>
  <c r="O5" i="7"/>
  <c r="P3" i="7"/>
  <c r="O44" i="3" l="1"/>
  <c r="Q44" i="3"/>
  <c r="P44" i="3"/>
  <c r="P80" i="4"/>
  <c r="R80" i="4"/>
  <c r="Q80" i="4"/>
  <c r="P90" i="2"/>
  <c r="R90" i="2"/>
  <c r="Q90" i="2"/>
  <c r="P44" i="5"/>
  <c r="R44" i="5"/>
  <c r="Q44" i="5"/>
  <c r="P44" i="1"/>
  <c r="R44" i="1"/>
  <c r="Q44" i="1"/>
</calcChain>
</file>

<file path=xl/sharedStrings.xml><?xml version="1.0" encoding="utf-8"?>
<sst xmlns="http://schemas.openxmlformats.org/spreadsheetml/2006/main" count="3889" uniqueCount="727">
  <si>
    <t>경기도</t>
  </si>
  <si>
    <t>부천시</t>
  </si>
  <si>
    <t/>
  </si>
  <si>
    <t>더불어민주당
조용익</t>
  </si>
  <si>
    <t>국민의힘
서영석</t>
  </si>
  <si>
    <t xml:space="preserve">
</t>
  </si>
  <si>
    <t>합계</t>
  </si>
  <si>
    <t>거소투표</t>
  </si>
  <si>
    <t>관외사전투표</t>
  </si>
  <si>
    <t>심곡동</t>
  </si>
  <si>
    <t>소계</t>
  </si>
  <si>
    <t>관내사전투표</t>
  </si>
  <si>
    <t>선거일투표</t>
  </si>
  <si>
    <t>부천동</t>
  </si>
  <si>
    <t>중동</t>
  </si>
  <si>
    <t>신중동</t>
  </si>
  <si>
    <t>상동</t>
  </si>
  <si>
    <t>대산동</t>
  </si>
  <si>
    <t>소사본동</t>
  </si>
  <si>
    <t>범안동</t>
  </si>
  <si>
    <t>성곡동</t>
  </si>
  <si>
    <t>오정동</t>
  </si>
  <si>
    <t>잘못 투입·구분된 투표지</t>
  </si>
  <si>
    <t>부천시가선거구</t>
  </si>
  <si>
    <t>더불어민주당
박순희</t>
  </si>
  <si>
    <t>더불어민주당
박명혜</t>
  </si>
  <si>
    <t>국민의힘
최초은</t>
  </si>
  <si>
    <t>국민의힘
곽내경</t>
  </si>
  <si>
    <t>정의당
이혜원</t>
  </si>
  <si>
    <t>부천시나선거구</t>
  </si>
  <si>
    <t>더불어민주당
김병전</t>
  </si>
  <si>
    <t>국민의힘
안효식</t>
  </si>
  <si>
    <t>국민의힘
박두례</t>
  </si>
  <si>
    <t>부천시다선거구</t>
  </si>
  <si>
    <t>더불어민주당
임은분</t>
  </si>
  <si>
    <t>국민의힘
김미자</t>
  </si>
  <si>
    <t>국민의힘
방춘하</t>
  </si>
  <si>
    <t>부천시라선거구</t>
  </si>
  <si>
    <t>더불어민주당
박찬희</t>
  </si>
  <si>
    <t>더불어민주당
박창길</t>
  </si>
  <si>
    <t>국민의힘
김건</t>
  </si>
  <si>
    <t>국민의힘
이병국</t>
  </si>
  <si>
    <t>부천시마선거구</t>
  </si>
  <si>
    <t>더불어민주당
박성호</t>
  </si>
  <si>
    <t>더불어민주당
양정숙</t>
  </si>
  <si>
    <t>국민의힘
장성철</t>
  </si>
  <si>
    <t>국민의힘
송원기</t>
  </si>
  <si>
    <t>정의당
이미숙</t>
  </si>
  <si>
    <t>부천시바선거구</t>
  </si>
  <si>
    <t>더불어민주당
최성운</t>
  </si>
  <si>
    <t>국민의힘
정창곤</t>
  </si>
  <si>
    <t>국민의힘
이상열</t>
  </si>
  <si>
    <t>정의당
안경선</t>
  </si>
  <si>
    <t>무소속
예승현</t>
  </si>
  <si>
    <t>부천시사선거구</t>
  </si>
  <si>
    <t>더불어민주당
김주삼</t>
  </si>
  <si>
    <t>국민의힘
최옥순</t>
  </si>
  <si>
    <t>무소속
김환석</t>
  </si>
  <si>
    <t>무소속
정준용</t>
  </si>
  <si>
    <t>부천시아선거구</t>
  </si>
  <si>
    <t>더불어민주당
송혜숙</t>
  </si>
  <si>
    <t>더불어민주당
최의열</t>
  </si>
  <si>
    <t>국민의힘
윤병권</t>
  </si>
  <si>
    <t>국민의힘
이준영</t>
  </si>
  <si>
    <t>부천시자선거구</t>
  </si>
  <si>
    <t>더불어민주당
윤단비</t>
  </si>
  <si>
    <t>더불어민주당
최은경</t>
  </si>
  <si>
    <t>국민의힘
이학환</t>
  </si>
  <si>
    <t>국민의힘
노근호</t>
  </si>
  <si>
    <t>정의당
김민정</t>
  </si>
  <si>
    <t>부천시차선거구</t>
  </si>
  <si>
    <t>더불어민주당
손준기</t>
  </si>
  <si>
    <t>국민의힘
구점자</t>
  </si>
  <si>
    <t>국민의힘
이필구</t>
  </si>
  <si>
    <t>더불어민주당</t>
  </si>
  <si>
    <t>국민의힘</t>
  </si>
  <si>
    <t>정의당</t>
  </si>
  <si>
    <t>부천시제1선거구</t>
  </si>
  <si>
    <t>더불어민주당
염종현</t>
  </si>
  <si>
    <t>국민의힘
원종태</t>
  </si>
  <si>
    <t>부천시제2선거구</t>
  </si>
  <si>
    <t>더불어민주당
이선구</t>
  </si>
  <si>
    <t>국민의힘
황인직</t>
  </si>
  <si>
    <t>부천시제3선거구</t>
  </si>
  <si>
    <t>더불어민주당
이재영</t>
  </si>
  <si>
    <t>국민의힘
문석기</t>
  </si>
  <si>
    <t>부천시제4선거구</t>
  </si>
  <si>
    <t>더불어민주당
황진희</t>
  </si>
  <si>
    <t>국민의힘
이상윤</t>
  </si>
  <si>
    <t>부천시제5선거구</t>
  </si>
  <si>
    <t>더불어민주당
김광민</t>
  </si>
  <si>
    <t>국민의힘
황계호</t>
  </si>
  <si>
    <t>부천시제6선거구</t>
  </si>
  <si>
    <t>더불어민주당
김동희</t>
  </si>
  <si>
    <t>국민의힘
전용한</t>
  </si>
  <si>
    <t>부천시제7선거구</t>
  </si>
  <si>
    <t>더불어민주당
유경현</t>
  </si>
  <si>
    <t>국민의힘
허태래</t>
  </si>
  <si>
    <t>부천시제8선거구</t>
  </si>
  <si>
    <t>더불어민주당
박상현</t>
  </si>
  <si>
    <t>국민의힘
박영호</t>
  </si>
  <si>
    <t>더불어민주당
김동연</t>
  </si>
  <si>
    <t>국민의힘
김은혜</t>
  </si>
  <si>
    <t>정의당
황순식</t>
  </si>
  <si>
    <t>기본소득당
서태성</t>
  </si>
  <si>
    <t>진보당
송영주</t>
  </si>
  <si>
    <t>무소속
강용석</t>
  </si>
  <si>
    <t>시도명</t>
  </si>
  <si>
    <t>구시군명</t>
  </si>
  <si>
    <t>선거구(구시군)</t>
  </si>
  <si>
    <t>읍면동명</t>
  </si>
  <si>
    <t>구분</t>
  </si>
  <si>
    <t>선거인수</t>
  </si>
  <si>
    <t>투표수</t>
  </si>
  <si>
    <t>후보자별 득표수</t>
  </si>
  <si>
    <t>계</t>
  </si>
  <si>
    <t>무효투표수</t>
  </si>
  <si>
    <t>기권수</t>
  </si>
  <si>
    <t>후보1</t>
  </si>
  <si>
    <t>후보2</t>
  </si>
  <si>
    <t>후보3</t>
  </si>
  <si>
    <t>후보4</t>
  </si>
  <si>
    <t>후보5</t>
  </si>
  <si>
    <t>선거구명</t>
  </si>
  <si>
    <t>후보6</t>
  </si>
  <si>
    <t>후보7</t>
  </si>
  <si>
    <t>후보8</t>
  </si>
  <si>
    <t>후보9</t>
  </si>
  <si>
    <t>후보10</t>
  </si>
  <si>
    <t>후보11</t>
  </si>
  <si>
    <t>후보12</t>
  </si>
  <si>
    <t>구시군</t>
  </si>
  <si>
    <t>정당1</t>
  </si>
  <si>
    <t>정당2</t>
  </si>
  <si>
    <t>정당3</t>
  </si>
  <si>
    <t>정당4</t>
  </si>
  <si>
    <t>후보자별 득표</t>
    <phoneticPr fontId="2" type="noConversion"/>
  </si>
  <si>
    <t>후보1</t>
    <phoneticPr fontId="2" type="noConversion"/>
  </si>
  <si>
    <t>비고</t>
    <phoneticPr fontId="2" type="noConversion"/>
  </si>
  <si>
    <t>을</t>
    <phoneticPr fontId="2" type="noConversion"/>
  </si>
  <si>
    <t>병</t>
    <phoneticPr fontId="2" type="noConversion"/>
  </si>
  <si>
    <t>갑</t>
    <phoneticPr fontId="2" type="noConversion"/>
  </si>
  <si>
    <t>갑 무효투표율</t>
  </si>
  <si>
    <t>갑 무효투표율</t>
    <phoneticPr fontId="2" type="noConversion"/>
  </si>
  <si>
    <t>을 무효투표율</t>
  </si>
  <si>
    <t>을 무효투표율</t>
    <phoneticPr fontId="2" type="noConversion"/>
  </si>
  <si>
    <t>병 무효투표율</t>
  </si>
  <si>
    <t>병 무효투표율</t>
    <phoneticPr fontId="2" type="noConversion"/>
  </si>
  <si>
    <t>-</t>
    <phoneticPr fontId="2" type="noConversion"/>
  </si>
  <si>
    <t>#=D7</t>
  </si>
  <si>
    <t>#=$H$3</t>
  </si>
  <si>
    <t>#=$I$3</t>
  </si>
  <si>
    <t>#=$J$3</t>
  </si>
  <si>
    <t>합계</t>
    <phoneticPr fontId="2" type="noConversion"/>
  </si>
  <si>
    <t>구분불가</t>
    <phoneticPr fontId="2" type="noConversion"/>
  </si>
  <si>
    <t>#="투표수: "&amp;TEXT((SUM(H7:K7)+M7), "#,##0")</t>
  </si>
  <si>
    <t>#="유효투표수: "&amp;TEXT(SUM(H7:K7),"#,##0")</t>
  </si>
  <si>
    <t>#="무효투표수: "&amp;TEXT(M7, "#,##0")</t>
  </si>
  <si>
    <t>#="투표율: "&amp;TEXT(((G7/F7)*100), "0.00")&amp;"%"</t>
  </si>
  <si>
    <t>#="기권율: "&amp;TEXT(((N7/F7)*100), "0.00")&amp;"%"</t>
  </si>
  <si>
    <t>#="유효투표율: "&amp;TEXT(((L7/G7)*100), "0.00")&amp;"%"</t>
  </si>
  <si>
    <t>#="무효투표율: "&amp;TEXT(((M7/G7)*100), "0.00")&amp;"%"</t>
  </si>
  <si>
    <t>#=TEXT(H7,"#,##0")&amp;CHAR(10)&amp;"("&amp;TEXT((ROUND((H7/(SUM(H7:K7))*100),2)),"0.00")&amp;"%)"</t>
  </si>
  <si>
    <t>#=TEXT(I7,"#,##0")&amp;CHAR(10)&amp;"("&amp;TEXT((ROUND((I7/(SUM(H7:K7))*100),2)),"0.00")&amp;"%)"</t>
  </si>
  <si>
    <t>#=TEXT(J7,"#,##0")&amp;CHAR(10)&amp;"("&amp;TEXT((ROUND((J7/(SUM(H7:K7))*100),2)),"0.00")&amp;"%)"</t>
  </si>
  <si>
    <t>거소투표, 관외사전투표 제외되있음 (필요하면 추가계산)</t>
    <phoneticPr fontId="2" type="noConversion"/>
  </si>
  <si>
    <t>*갑을병 지역구 구분이라 제외</t>
    <phoneticPr fontId="2" type="noConversion"/>
  </si>
  <si>
    <t>12인</t>
  </si>
  <si>
    <t>12인</t>
    <phoneticPr fontId="2" type="noConversion"/>
  </si>
  <si>
    <t>5인</t>
  </si>
  <si>
    <t>5인</t>
    <phoneticPr fontId="2" type="noConversion"/>
  </si>
  <si>
    <t>6인</t>
  </si>
  <si>
    <t>6인</t>
    <phoneticPr fontId="2" type="noConversion"/>
  </si>
  <si>
    <t>8인</t>
  </si>
  <si>
    <t>8인</t>
    <phoneticPr fontId="2" type="noConversion"/>
  </si>
  <si>
    <t>민주당</t>
    <phoneticPr fontId="2" type="noConversion"/>
  </si>
  <si>
    <t>국힘</t>
    <phoneticPr fontId="2" type="noConversion"/>
  </si>
  <si>
    <t>3인</t>
  </si>
  <si>
    <t>3인</t>
    <phoneticPr fontId="2" type="noConversion"/>
  </si>
  <si>
    <t>4인</t>
  </si>
  <si>
    <t>4인</t>
    <phoneticPr fontId="2" type="noConversion"/>
  </si>
  <si>
    <t>선거구 합</t>
    <phoneticPr fontId="2" type="noConversion"/>
  </si>
  <si>
    <t>13인</t>
  </si>
  <si>
    <t>13인</t>
    <phoneticPr fontId="2" type="noConversion"/>
  </si>
  <si>
    <t>2인</t>
  </si>
  <si>
    <t>2인</t>
    <phoneticPr fontId="2" type="noConversion"/>
  </si>
  <si>
    <t>시장 선거</t>
    <phoneticPr fontId="2" type="noConversion"/>
  </si>
  <si>
    <t>시도지사 선거</t>
    <phoneticPr fontId="2" type="noConversion"/>
  </si>
  <si>
    <t>구시군의회의원 선거</t>
    <phoneticPr fontId="2" type="noConversion"/>
  </si>
  <si>
    <t>시도의회의원 선거</t>
    <phoneticPr fontId="2" type="noConversion"/>
  </si>
  <si>
    <t>기초비례의원 선거</t>
    <phoneticPr fontId="2" type="noConversion"/>
  </si>
  <si>
    <t>8회 지선</t>
    <phoneticPr fontId="2" type="noConversion"/>
  </si>
  <si>
    <t>갑</t>
  </si>
  <si>
    <t>민주당 득표율</t>
  </si>
  <si>
    <t>민주당 득표율</t>
    <phoneticPr fontId="2" type="noConversion"/>
  </si>
  <si>
    <t>을</t>
  </si>
  <si>
    <t>병</t>
  </si>
  <si>
    <t>국힘 득표율</t>
  </si>
  <si>
    <t>국힘 득표율</t>
    <phoneticPr fontId="2" type="noConversion"/>
  </si>
  <si>
    <t>*부천동과 심곡동은
갑을병으로 구분불가로 제외됨</t>
    <phoneticPr fontId="2" type="noConversion"/>
  </si>
  <si>
    <t>후보 수</t>
    <phoneticPr fontId="2" type="noConversion"/>
  </si>
  <si>
    <t>배출 후보</t>
    <phoneticPr fontId="2" type="noConversion"/>
  </si>
  <si>
    <t>비고</t>
  </si>
  <si>
    <t>후보자별 득표</t>
  </si>
  <si>
    <t>투표수: 347,476</t>
  </si>
  <si>
    <t>유효투표수: 342,900</t>
  </si>
  <si>
    <t>무효투표수: 4,576</t>
  </si>
  <si>
    <t>-</t>
  </si>
  <si>
    <t>투표율: 49.43%</t>
  </si>
  <si>
    <t>기권율: 50.57%</t>
  </si>
  <si>
    <t>유효투표율: 98.68%</t>
  </si>
  <si>
    <t>무효투표율: 1.32%</t>
  </si>
  <si>
    <t>180,005
(52.49%)</t>
  </si>
  <si>
    <t>162,895
(47.51%)</t>
  </si>
  <si>
    <t>투표수: 21,541</t>
  </si>
  <si>
    <t>유효투표수: 21,238</t>
  </si>
  <si>
    <t>무효투표수: 303</t>
  </si>
  <si>
    <t>구분불가</t>
  </si>
  <si>
    <t>투표율: 38.78%</t>
  </si>
  <si>
    <t>기권율: 61.22%</t>
  </si>
  <si>
    <t>유효투표율: 98.59%</t>
  </si>
  <si>
    <t>무효투표율: 1.41%</t>
  </si>
  <si>
    <t>11,193
(52.70%)</t>
  </si>
  <si>
    <t>10,045
(47.30%)</t>
  </si>
  <si>
    <t>투표수: 33,692</t>
  </si>
  <si>
    <t>유효투표수: 33,201</t>
  </si>
  <si>
    <t>무효투표수: 491</t>
  </si>
  <si>
    <t>투표율: 44.87%</t>
  </si>
  <si>
    <t>기권율: 55.13%</t>
  </si>
  <si>
    <t>유효투표율: 98.54%</t>
  </si>
  <si>
    <t>무효투표율: 1.46%</t>
  </si>
  <si>
    <t>17,931
(54.01%)</t>
  </si>
  <si>
    <t>15,270
(45.99%)</t>
  </si>
  <si>
    <t>투표수: 15,975</t>
  </si>
  <si>
    <t>유효투표수: 15,816</t>
  </si>
  <si>
    <t>무효투표수: 159</t>
  </si>
  <si>
    <t>투표율: 48.04%</t>
  </si>
  <si>
    <t>기권율: 51.96%</t>
  </si>
  <si>
    <t>유효투표율: 99.00%</t>
  </si>
  <si>
    <t>무효투표율: 1.00%</t>
  </si>
  <si>
    <t>7,740
(48.94%)</t>
  </si>
  <si>
    <t>8,076
(51.06%)</t>
  </si>
  <si>
    <t>투표수: 51,633</t>
  </si>
  <si>
    <t>유효투표수: 51,030</t>
  </si>
  <si>
    <t>무효투표수: 603</t>
  </si>
  <si>
    <t>투표율: 49.23%</t>
  </si>
  <si>
    <t>기권율: 50.77%</t>
  </si>
  <si>
    <t>유효투표율: 98.83%</t>
  </si>
  <si>
    <t>무효투표율: 1.17%</t>
  </si>
  <si>
    <t>25,511
(49.99%)</t>
  </si>
  <si>
    <t>25,519
(50.01%)</t>
  </si>
  <si>
    <t>투표수: 35,033</t>
  </si>
  <si>
    <t>유효투표수: 34,812</t>
  </si>
  <si>
    <t>무효투표수: 221</t>
  </si>
  <si>
    <t>투표율: 53.30%</t>
  </si>
  <si>
    <t>기권율: 46.70%</t>
  </si>
  <si>
    <t>유효투표율: 99.37%</t>
  </si>
  <si>
    <t>무효투표율: 0.63%</t>
  </si>
  <si>
    <t>18,561
(53.32%)</t>
  </si>
  <si>
    <t>16,251
(46.68%)</t>
  </si>
  <si>
    <t>투표수: 31,965</t>
  </si>
  <si>
    <t>유효투표수: 31,509</t>
  </si>
  <si>
    <t>무효투표수: 456</t>
  </si>
  <si>
    <t>투표율: 46.18%</t>
  </si>
  <si>
    <t>기권율: 53.82%</t>
  </si>
  <si>
    <t>유효투표율: 98.57%</t>
  </si>
  <si>
    <t>무효투표율: 1.43%</t>
  </si>
  <si>
    <t>16,099
(51.09%)</t>
  </si>
  <si>
    <t>15,410
(48.91%)</t>
  </si>
  <si>
    <t>투표수: 22,429</t>
  </si>
  <si>
    <t>유효투표수: 22,123</t>
  </si>
  <si>
    <t>무효투표수: 306</t>
  </si>
  <si>
    <t>투표율: 47.40%</t>
  </si>
  <si>
    <t>기권율: 52.60%</t>
  </si>
  <si>
    <t>유효투표율: 98.64%</t>
  </si>
  <si>
    <t>무효투표율: 1.36%</t>
  </si>
  <si>
    <t>11,184
(50.55%)</t>
  </si>
  <si>
    <t>10,939
(49.45%)</t>
  </si>
  <si>
    <t>투표수: 37,396</t>
  </si>
  <si>
    <t>유효투표수: 36,984</t>
  </si>
  <si>
    <t>무효투표수: 412</t>
  </si>
  <si>
    <t>투표율: 50.74%</t>
  </si>
  <si>
    <t>기권율: 49.26%</t>
  </si>
  <si>
    <t>유효투표율: 98.90%</t>
  </si>
  <si>
    <t>무효투표율: 1.10%</t>
  </si>
  <si>
    <t>20,140
(54.46%)</t>
  </si>
  <si>
    <t>16,844
(45.54%)</t>
  </si>
  <si>
    <t>투표수: 29,800</t>
  </si>
  <si>
    <t>유효투표수: 29,390</t>
  </si>
  <si>
    <t>무효투표수: 410</t>
  </si>
  <si>
    <t>투표율: 42.74%</t>
  </si>
  <si>
    <t>기권율: 57.26%</t>
  </si>
  <si>
    <t>유효투표율: 98.62%</t>
  </si>
  <si>
    <t>무효투표율: 1.38%</t>
  </si>
  <si>
    <t>15,543
(52.89%)</t>
  </si>
  <si>
    <t>13,847
(47.11%)</t>
  </si>
  <si>
    <t>투표수: 28,207</t>
  </si>
  <si>
    <t>유효투표수: 27,816</t>
  </si>
  <si>
    <t>무효투표수: 391</t>
  </si>
  <si>
    <t>투표율: 40.85%</t>
  </si>
  <si>
    <t>기권율: 59.15%</t>
  </si>
  <si>
    <t>유효투표율: 98.61%</t>
  </si>
  <si>
    <t>무효투표율: 1.39%</t>
  </si>
  <si>
    <t>14,296
(51.39%)</t>
  </si>
  <si>
    <t>13,520
(48.61%)</t>
  </si>
  <si>
    <t>투표수: 347,502</t>
  </si>
  <si>
    <t>유효투표수: 344,003</t>
  </si>
  <si>
    <t>무효투표수: 3,499</t>
  </si>
  <si>
    <t>유효투표율: 98.99%</t>
  </si>
  <si>
    <t>무효투표율: 1.01%</t>
  </si>
  <si>
    <t>182,163
(52.95%)</t>
  </si>
  <si>
    <t>154,942
(45.04%)</t>
  </si>
  <si>
    <t>2,733
(0.79%)</t>
  </si>
  <si>
    <t>626
(0.18%)</t>
  </si>
  <si>
    <t>713
(0.21%)</t>
  </si>
  <si>
    <t>2,826
(0.82%)</t>
  </si>
  <si>
    <t>투표수: 21,551</t>
  </si>
  <si>
    <t>유효투표수: 21,287</t>
  </si>
  <si>
    <t>무효투표수: 264</t>
  </si>
  <si>
    <t>투표율: 38.80%</t>
  </si>
  <si>
    <t>기권율: 61.20%</t>
  </si>
  <si>
    <t>유효투표율: 98.77%</t>
  </si>
  <si>
    <t>무효투표율: 1.23%</t>
  </si>
  <si>
    <t>11,102
(52.15%)</t>
  </si>
  <si>
    <t>9,748
(45.79%)</t>
  </si>
  <si>
    <t>172
(0.81%)</t>
  </si>
  <si>
    <t>46
(0.22%)</t>
  </si>
  <si>
    <t>42
(0.20%)</t>
  </si>
  <si>
    <t>177
(0.83%)</t>
  </si>
  <si>
    <t>투표수: 33,741</t>
  </si>
  <si>
    <t>유효투표수: 33,337</t>
  </si>
  <si>
    <t>무효투표수: 404</t>
  </si>
  <si>
    <t>투표율: 44.94%</t>
  </si>
  <si>
    <t>기권율: 55.06%</t>
  </si>
  <si>
    <t>유효투표율: 98.80%</t>
  </si>
  <si>
    <t>무효투표율: 1.20%</t>
  </si>
  <si>
    <t>17,843
(53.52%)</t>
  </si>
  <si>
    <t>14,850
(44.55%)</t>
  </si>
  <si>
    <t>271
(0.81%)</t>
  </si>
  <si>
    <t>67
(0.20%)</t>
  </si>
  <si>
    <t>66
(0.20%)</t>
  </si>
  <si>
    <t>240
(0.72%)</t>
  </si>
  <si>
    <t>투표수: 15,992</t>
  </si>
  <si>
    <t>유효투표수: 15,831</t>
  </si>
  <si>
    <t>무효투표수: 161</t>
  </si>
  <si>
    <t>투표율: 48.09%</t>
  </si>
  <si>
    <t>기권율: 51.91%</t>
  </si>
  <si>
    <t>7,802
(49.28%)</t>
  </si>
  <si>
    <t>7,750
(48.95%)</t>
  </si>
  <si>
    <t>112
(0.71%)</t>
  </si>
  <si>
    <t>19
(0.12%)</t>
  </si>
  <si>
    <t>25
(0.16%)</t>
  </si>
  <si>
    <t>123
(0.78%)</t>
  </si>
  <si>
    <t>투표수: 51,696</t>
  </si>
  <si>
    <t>유효투표수: 51,276</t>
  </si>
  <si>
    <t>무효투표수: 420</t>
  </si>
  <si>
    <t>투표율: 49.29%</t>
  </si>
  <si>
    <t>기권율: 50.71%</t>
  </si>
  <si>
    <t>유효투표율: 99.19%</t>
  </si>
  <si>
    <t>무효투표율: 0.81%</t>
  </si>
  <si>
    <t>25,898
(50.51%)</t>
  </si>
  <si>
    <t>24,443
(47.67%)</t>
  </si>
  <si>
    <t>376
(0.73%)</t>
  </si>
  <si>
    <t>68
(0.13%)</t>
  </si>
  <si>
    <t>81
(0.16%)</t>
  </si>
  <si>
    <t>410
(0.80%)</t>
  </si>
  <si>
    <t>투표수: 35,097</t>
  </si>
  <si>
    <t>유효투표수: 34,900</t>
  </si>
  <si>
    <t>무효투표수: 197</t>
  </si>
  <si>
    <t>투표율: 53.40%</t>
  </si>
  <si>
    <t>기권율: 46.60%</t>
  </si>
  <si>
    <t>유효투표율: 99.44%</t>
  </si>
  <si>
    <t>무효투표율: 0.56%</t>
  </si>
  <si>
    <t>19,089
(54.70%)</t>
  </si>
  <si>
    <t>15,206
(43.57%)</t>
  </si>
  <si>
    <t>234
(0.67%)</t>
  </si>
  <si>
    <t>37
(0.11%)</t>
  </si>
  <si>
    <t>44
(0.13%)</t>
  </si>
  <si>
    <t>290
(0.83%)</t>
  </si>
  <si>
    <t>투표수: 31,990</t>
  </si>
  <si>
    <t>유효투표수: 31,670</t>
  </si>
  <si>
    <t>무효투표수: 320</t>
  </si>
  <si>
    <t>투표율: 46.22%</t>
  </si>
  <si>
    <t>기권율: 53.78%</t>
  </si>
  <si>
    <t>16,211
(51.19%)</t>
  </si>
  <si>
    <t>14,804
(46.74%)</t>
  </si>
  <si>
    <t>295
(0.93%)</t>
  </si>
  <si>
    <t>55
(0.17%)</t>
  </si>
  <si>
    <t>70
(0.22%)</t>
  </si>
  <si>
    <t>235
(0.74%)</t>
  </si>
  <si>
    <t>투표수: 22,440</t>
  </si>
  <si>
    <t>유효투표수: 22,212</t>
  </si>
  <si>
    <t>무효투표수: 228</t>
  </si>
  <si>
    <t>투표율: 47.42%</t>
  </si>
  <si>
    <t>기권율: 52.58%</t>
  </si>
  <si>
    <t>유효투표율: 98.98%</t>
  </si>
  <si>
    <t>무효투표율: 1.02%</t>
  </si>
  <si>
    <t>11,199
(50.42%)</t>
  </si>
  <si>
    <t>10,544
(47.47%)</t>
  </si>
  <si>
    <t>165
(0.74%)</t>
  </si>
  <si>
    <t>69
(0.31%)</t>
  </si>
  <si>
    <t>50
(0.23%)</t>
  </si>
  <si>
    <t>185
(0.83%)</t>
  </si>
  <si>
    <t>투표수: 37,425</t>
  </si>
  <si>
    <t>유효투표수: 37,110</t>
  </si>
  <si>
    <t>무효투표수: 315</t>
  </si>
  <si>
    <t>투표율: 50.78%</t>
  </si>
  <si>
    <t>기권율: 49.22%</t>
  </si>
  <si>
    <t>유효투표율: 99.16%</t>
  </si>
  <si>
    <t>무효투표율: 0.84%</t>
  </si>
  <si>
    <t>20,428
(55.05%)</t>
  </si>
  <si>
    <t>16,000
(43.12%)</t>
  </si>
  <si>
    <t>272
(0.73%)</t>
  </si>
  <si>
    <t>52
(0.14%)</t>
  </si>
  <si>
    <t>55
(0.15%)</t>
  </si>
  <si>
    <t>303
(0.82%)</t>
  </si>
  <si>
    <t>투표수: 29,824</t>
  </si>
  <si>
    <t>유효투표수: 29,493</t>
  </si>
  <si>
    <t>무효투표수: 331</t>
  </si>
  <si>
    <t>투표율: 42.77%</t>
  </si>
  <si>
    <t>기권율: 57.23%</t>
  </si>
  <si>
    <t>유효투표율: 98.89%</t>
  </si>
  <si>
    <t>무효투표율: 1.11%</t>
  </si>
  <si>
    <t>15,850
(53.74%)</t>
  </si>
  <si>
    <t>13,024
(44.16%)</t>
  </si>
  <si>
    <t>254
(0.86%)</t>
  </si>
  <si>
    <t>61
(0.21%)</t>
  </si>
  <si>
    <t>76
(0.26%)</t>
  </si>
  <si>
    <t>228
(0.77%)</t>
  </si>
  <si>
    <t>투표수: 28,216</t>
  </si>
  <si>
    <t>유효투표수: 27,857</t>
  </si>
  <si>
    <t>무효투표수: 359</t>
  </si>
  <si>
    <t>투표율: 40.86%</t>
  </si>
  <si>
    <t>기권율: 59.14%</t>
  </si>
  <si>
    <t>유효투표율: 98.73%</t>
  </si>
  <si>
    <t>무효투표율: 1.27%</t>
  </si>
  <si>
    <t>14,663
(52.64%)</t>
  </si>
  <si>
    <t>12,669
(45.48%)</t>
  </si>
  <si>
    <t>191
(0.69%)</t>
  </si>
  <si>
    <t>43
(0.15%)</t>
  </si>
  <si>
    <t>69
(0.25%)</t>
  </si>
  <si>
    <t>222
(0.80%)</t>
  </si>
  <si>
    <t>선거구</t>
    <phoneticPr fontId="2" type="noConversion"/>
  </si>
  <si>
    <t>심곡동</t>
    <phoneticPr fontId="2" type="noConversion"/>
  </si>
  <si>
    <t>투표수: 33,710</t>
  </si>
  <si>
    <t>유효투표수: 31,641</t>
  </si>
  <si>
    <t>무효투표수: 2,069</t>
  </si>
  <si>
    <t>투표율: 44.90%</t>
  </si>
  <si>
    <t>기권율: 55.10%</t>
  </si>
  <si>
    <t>유효투표율: 93.86%</t>
  </si>
  <si>
    <t>무효투표율: 6.14%</t>
  </si>
  <si>
    <t>12,664
(40.02%)</t>
  </si>
  <si>
    <t>4,568
(14.44%)</t>
  </si>
  <si>
    <t>7,740
(24.46%)</t>
  </si>
  <si>
    <t>5,689
(17.98%)</t>
  </si>
  <si>
    <t>980
(3.10%)</t>
  </si>
  <si>
    <t>투표수: 21,498</t>
  </si>
  <si>
    <t>유효투표수: 20,387</t>
  </si>
  <si>
    <t>무효투표수: 1,111</t>
  </si>
  <si>
    <t>투표율: 38.70%</t>
  </si>
  <si>
    <t>기권율: 61.30%</t>
  </si>
  <si>
    <t>유효투표율: 94.83%</t>
  </si>
  <si>
    <t>무효투표율: 5.17%</t>
  </si>
  <si>
    <t>10,668
(52.33%)</t>
  </si>
  <si>
    <t>8,306
(40.74%)</t>
  </si>
  <si>
    <t>1,413
(6.93%)</t>
  </si>
  <si>
    <t>투표수: 15,957</t>
  </si>
  <si>
    <t>유효투표수: 15,022</t>
  </si>
  <si>
    <t>무효투표수: 935</t>
  </si>
  <si>
    <t>투표율: 47.98%</t>
  </si>
  <si>
    <t>기권율: 52.02%</t>
  </si>
  <si>
    <t>유효투표율: 94.14%</t>
  </si>
  <si>
    <t>무효투표율: 5.86%</t>
  </si>
  <si>
    <t>7,401
(49.27%)</t>
  </si>
  <si>
    <t>4,523
(30.11%)</t>
  </si>
  <si>
    <t>3,098
(20.62%)</t>
  </si>
  <si>
    <t>투표수: 35,032</t>
  </si>
  <si>
    <t>유효투표수: 31,895</t>
  </si>
  <si>
    <t>무효투표수: 3,137</t>
  </si>
  <si>
    <t>유효투표율: 91.05%</t>
  </si>
  <si>
    <t>무효투표율: 8.95%</t>
  </si>
  <si>
    <t>14,181
(44.46%)</t>
  </si>
  <si>
    <t>5,071
(15.90%)</t>
  </si>
  <si>
    <t>8,852
(27.75%)</t>
  </si>
  <si>
    <t>3,791
(11.89%)</t>
  </si>
  <si>
    <t>투표수: 51,647</t>
  </si>
  <si>
    <t>유효투표수: 48,685</t>
  </si>
  <si>
    <t>무효투표수: 2,962</t>
  </si>
  <si>
    <t>투표율: 49.24%</t>
  </si>
  <si>
    <t>기권율: 50.76%</t>
  </si>
  <si>
    <t>유효투표율: 94.26%</t>
  </si>
  <si>
    <t>무효투표율: 5.74%</t>
  </si>
  <si>
    <t>17,222
(35.37%)</t>
  </si>
  <si>
    <t>8,093
(16.62%)</t>
  </si>
  <si>
    <t>15,965
(32.79%)</t>
  </si>
  <si>
    <t>5,532
(11.36%)</t>
  </si>
  <si>
    <t>1,873
(3.85%)</t>
  </si>
  <si>
    <t>투표수: 31,963</t>
  </si>
  <si>
    <t>유효투표수: 31,171</t>
  </si>
  <si>
    <t>무효투표수: 792</t>
  </si>
  <si>
    <t>유효투표율: 97.52%</t>
  </si>
  <si>
    <t>무효투표율: 2.48%</t>
  </si>
  <si>
    <t>14,260
(45.75%)</t>
  </si>
  <si>
    <t>10,032
(32.18%)</t>
  </si>
  <si>
    <t>4,874
(15.64%)</t>
  </si>
  <si>
    <t>1,418
(4.55%)</t>
  </si>
  <si>
    <t>587
(1.88%)</t>
  </si>
  <si>
    <t>투표수: 22,371</t>
  </si>
  <si>
    <t>유효투표수: 21,589</t>
  </si>
  <si>
    <t>무효투표수: 782</t>
  </si>
  <si>
    <t>투표율: 47.28%</t>
  </si>
  <si>
    <t>기권율: 52.72%</t>
  </si>
  <si>
    <t>유효투표율: 96.50%</t>
  </si>
  <si>
    <t>무효투표율: 3.50%</t>
  </si>
  <si>
    <t>10,952
(50.73%)</t>
  </si>
  <si>
    <t>7,686
(35.60%)</t>
  </si>
  <si>
    <t>2,406
(11.14%)</t>
  </si>
  <si>
    <t>545
(2.52%)</t>
  </si>
  <si>
    <t>투표수: 37,366</t>
  </si>
  <si>
    <t>유효투표수: 33,442</t>
  </si>
  <si>
    <t>무효투표수: 3,924</t>
  </si>
  <si>
    <t>투표율: 50.70%</t>
  </si>
  <si>
    <t>기권율: 49.30%</t>
  </si>
  <si>
    <t>유효투표율: 89.50%</t>
  </si>
  <si>
    <t>무효투표율: 10.50%</t>
  </si>
  <si>
    <t>14,353
(42.92%)</t>
  </si>
  <si>
    <t>4,993
(14.93%)</t>
  </si>
  <si>
    <t>9,506
(28.43%)</t>
  </si>
  <si>
    <t>4,590
(13.73%)</t>
  </si>
  <si>
    <t>투표수: 29,797</t>
  </si>
  <si>
    <t>유효투표수: 27,711</t>
  </si>
  <si>
    <t>무효투표수: 2,086</t>
  </si>
  <si>
    <t>유효투표율: 93.00%</t>
  </si>
  <si>
    <t>무효투표율: 7.00%</t>
  </si>
  <si>
    <t>10,559
(38.10%)</t>
  </si>
  <si>
    <t>4,268
(15.40%)</t>
  </si>
  <si>
    <t>7,473
(26.97%)</t>
  </si>
  <si>
    <t>4,085
(14.74%)</t>
  </si>
  <si>
    <t>1,326
(4.79%)</t>
  </si>
  <si>
    <t>투표수: 28,169</t>
  </si>
  <si>
    <t>유효투표수: 26,690</t>
  </si>
  <si>
    <t>무효투표수: 1,479</t>
  </si>
  <si>
    <t>투표율: 40.79%</t>
  </si>
  <si>
    <t>기권율: 59.21%</t>
  </si>
  <si>
    <t>유효투표율: 94.75%</t>
  </si>
  <si>
    <t>무효투표율: 5.25%</t>
  </si>
  <si>
    <t>13,484
(50.52%)</t>
  </si>
  <si>
    <t>8,773
(32.87%)</t>
  </si>
  <si>
    <t>4,433
(16.61%)</t>
  </si>
  <si>
    <t>투표수: 33,682</t>
  </si>
  <si>
    <t>유효투표수: 32,676</t>
  </si>
  <si>
    <t>무효투표수: 1,006</t>
  </si>
  <si>
    <t>투표율: 44.86%</t>
  </si>
  <si>
    <t>기권율: 55.14%</t>
  </si>
  <si>
    <t>유효투표율: 97.01%</t>
  </si>
  <si>
    <t>무효투표율: 2.99%</t>
  </si>
  <si>
    <t>18,068
(55.29%)</t>
  </si>
  <si>
    <t>14,608
(44.71%)</t>
  </si>
  <si>
    <t>투표수: 21,539</t>
  </si>
  <si>
    <t>유효투표수: 21,025</t>
  </si>
  <si>
    <t>무효투표수: 514</t>
  </si>
  <si>
    <t>유효투표율: 97.61%</t>
  </si>
  <si>
    <t>무효투표율: 2.39%</t>
  </si>
  <si>
    <t>10,951
(52.09%)</t>
  </si>
  <si>
    <t>10,074
(47.91%)</t>
  </si>
  <si>
    <t>투표수: 15,976</t>
  </si>
  <si>
    <t>유효투표수: 15,759</t>
  </si>
  <si>
    <t>무효투표수: 217</t>
  </si>
  <si>
    <t>7,855
(49.84%)</t>
  </si>
  <si>
    <t>7,904
(50.16%)</t>
  </si>
  <si>
    <t>유효투표수: 34,079</t>
  </si>
  <si>
    <t>무효투표수: 953</t>
  </si>
  <si>
    <t>유효투표율: 97.28%</t>
  </si>
  <si>
    <t>무효투표율: 2.72%</t>
  </si>
  <si>
    <t>18,797
(55.16%)</t>
  </si>
  <si>
    <t>15,282
(44.84%)</t>
  </si>
  <si>
    <t>투표수: 51,609</t>
  </si>
  <si>
    <t>유효투표수: 50,279</t>
  </si>
  <si>
    <t>무효투표수: 1,330</t>
  </si>
  <si>
    <t>투표율: 49.20%</t>
  </si>
  <si>
    <t>기권율: 50.80%</t>
  </si>
  <si>
    <t>유효투표율: 97.42%</t>
  </si>
  <si>
    <t>무효투표율: 2.58%</t>
  </si>
  <si>
    <t>26,079
(51.87%)</t>
  </si>
  <si>
    <t>24,200
(48.13%)</t>
  </si>
  <si>
    <t>투표수: 31,944</t>
  </si>
  <si>
    <t>유효투표수: 31,016</t>
  </si>
  <si>
    <t>무효투표수: 928</t>
  </si>
  <si>
    <t>투표율: 46.15%</t>
  </si>
  <si>
    <t>기권율: 53.85%</t>
  </si>
  <si>
    <t>유효투표율: 97.09%</t>
  </si>
  <si>
    <t>무효투표율: 2.91%</t>
  </si>
  <si>
    <t>16,297
(52.54%)</t>
  </si>
  <si>
    <t>14,719
(47.46%)</t>
  </si>
  <si>
    <t>투표수: 22,413</t>
  </si>
  <si>
    <t>유효투표수: 21,902</t>
  </si>
  <si>
    <t>무효투표수: 511</t>
  </si>
  <si>
    <t>투표율: 47.36%</t>
  </si>
  <si>
    <t>기권율: 52.64%</t>
  </si>
  <si>
    <t>유효투표율: 97.72%</t>
  </si>
  <si>
    <t>무효투표율: 2.28%</t>
  </si>
  <si>
    <t>11,455
(52.30%)</t>
  </si>
  <si>
    <t>10,447
(47.70%)</t>
  </si>
  <si>
    <t>투표수: 37,402</t>
  </si>
  <si>
    <t>유효투표수: 36,758</t>
  </si>
  <si>
    <t>무효투표수: 644</t>
  </si>
  <si>
    <t>투표율: 50.75%</t>
  </si>
  <si>
    <t>기권율: 49.25%</t>
  </si>
  <si>
    <t>유효투표율: 98.28%</t>
  </si>
  <si>
    <t>무효투표율: 1.72%</t>
  </si>
  <si>
    <t>20,403
(55.51%)</t>
  </si>
  <si>
    <t>16,355
(44.49%)</t>
  </si>
  <si>
    <t>투표수: 29,784</t>
  </si>
  <si>
    <t>유효투표수: 28,762</t>
  </si>
  <si>
    <t>무효투표수: 1,022</t>
  </si>
  <si>
    <t>투표율: 42.72%</t>
  </si>
  <si>
    <t>기권율: 57.28%</t>
  </si>
  <si>
    <t>유효투표율: 96.57%</t>
  </si>
  <si>
    <t>무효투표율: 3.43%</t>
  </si>
  <si>
    <t>15,651
(54.42%)</t>
  </si>
  <si>
    <t>13,111
(45.58%)</t>
  </si>
  <si>
    <t>투표수: 28,196</t>
  </si>
  <si>
    <t>유효투표수: 27,291</t>
  </si>
  <si>
    <t>무효투표수: 905</t>
  </si>
  <si>
    <t>투표율: 40.83%</t>
  </si>
  <si>
    <t>기권율: 59.17%</t>
  </si>
  <si>
    <t>유효투표율: 96.79%</t>
  </si>
  <si>
    <t>무효투표율: 3.21%</t>
  </si>
  <si>
    <t>14,505
(53.15%)</t>
  </si>
  <si>
    <t>12,786
(46.85%)</t>
  </si>
  <si>
    <t>투표수: 347,411</t>
  </si>
  <si>
    <t>유효투표수: 340,458</t>
  </si>
  <si>
    <t>무효투표수: 6,953</t>
  </si>
  <si>
    <t>투표율: 49.42%</t>
  </si>
  <si>
    <t>기권율: 50.58%</t>
  </si>
  <si>
    <t>유효투표율: 98.00%</t>
  </si>
  <si>
    <t>무효투표율: 2.00%</t>
  </si>
  <si>
    <t>168,109
(49.38%)</t>
  </si>
  <si>
    <t>156,068
(45.84%)</t>
  </si>
  <si>
    <t>16,281
(4.78%)</t>
  </si>
  <si>
    <t>투표수: 21,521</t>
  </si>
  <si>
    <t>유효투표수: 21,074</t>
  </si>
  <si>
    <t>무효투표수: 447</t>
  </si>
  <si>
    <t>투표율: 38.75%</t>
  </si>
  <si>
    <t>기권율: 61.25%</t>
  </si>
  <si>
    <t>유효투표율: 97.92%</t>
  </si>
  <si>
    <t>무효투표율: 2.08%</t>
  </si>
  <si>
    <t>10,407
(49.38%)</t>
  </si>
  <si>
    <t>9,857
(46.77%)</t>
  </si>
  <si>
    <t>810
(3.84%)</t>
  </si>
  <si>
    <t>투표수: 33,689</t>
  </si>
  <si>
    <t>유효투표수: 32,920</t>
  </si>
  <si>
    <t>무효투표수: 769</t>
  </si>
  <si>
    <t>16,739
(50.85%)</t>
  </si>
  <si>
    <t>14,779
(44.89%)</t>
  </si>
  <si>
    <t>1,402
(4.26%)</t>
  </si>
  <si>
    <t>투표수: 15,964</t>
  </si>
  <si>
    <t>유효투표수: 15,668</t>
  </si>
  <si>
    <t>무효투표수: 296</t>
  </si>
  <si>
    <t>투표율: 48.00%</t>
  </si>
  <si>
    <t>기권율: 52.00%</t>
  </si>
  <si>
    <t>유효투표율: 98.15%</t>
  </si>
  <si>
    <t>무효투표율: 1.85%</t>
  </si>
  <si>
    <t>7,149
(45.63%)</t>
  </si>
  <si>
    <t>7,798
(49.77%)</t>
  </si>
  <si>
    <t>721
(4.60%)</t>
  </si>
  <si>
    <t>투표수: 51,614</t>
  </si>
  <si>
    <t>유효투표수: 50,580</t>
  </si>
  <si>
    <t>무효투표수: 1,034</t>
  </si>
  <si>
    <t>투표율: 49.21%</t>
  </si>
  <si>
    <t>기권율: 50.79%</t>
  </si>
  <si>
    <t>23,713
(46.88%)</t>
  </si>
  <si>
    <t>24,363
(48.17%)</t>
  </si>
  <si>
    <t>2,504
(4.95%)</t>
  </si>
  <si>
    <t>투표수: 35,007</t>
  </si>
  <si>
    <t>유효투표수: 34,532</t>
  </si>
  <si>
    <t>무효투표수: 475</t>
  </si>
  <si>
    <t>투표율: 53.26%</t>
  </si>
  <si>
    <t>기권율: 46.74%</t>
  </si>
  <si>
    <t>17,274
(50.02%)</t>
  </si>
  <si>
    <t>15,322
(44.37%)</t>
  </si>
  <si>
    <t>1,936
(5.61%)</t>
  </si>
  <si>
    <t>투표수: 31,943</t>
  </si>
  <si>
    <t>유효투표수: 31,276</t>
  </si>
  <si>
    <t>무효투표수: 667</t>
  </si>
  <si>
    <t>유효투표율: 97.91%</t>
  </si>
  <si>
    <t>무효투표율: 2.09%</t>
  </si>
  <si>
    <t>14,779
(47.25%)</t>
  </si>
  <si>
    <t>14,902
(47.65%)</t>
  </si>
  <si>
    <t>1,595
(5.10%)</t>
  </si>
  <si>
    <t>투표수: 22,384</t>
  </si>
  <si>
    <t>유효투표수: 21,914</t>
  </si>
  <si>
    <t>무효투표수: 470</t>
  </si>
  <si>
    <t>투표율: 47.30%</t>
  </si>
  <si>
    <t>기권율: 52.70%</t>
  </si>
  <si>
    <t>유효투표율: 97.90%</t>
  </si>
  <si>
    <t>무효투표율: 2.10%</t>
  </si>
  <si>
    <t>10,430
(47.60%)</t>
  </si>
  <si>
    <t>10,566
(48.22%)</t>
  </si>
  <si>
    <t>918
(4.19%)</t>
  </si>
  <si>
    <t>투표수: 37,381</t>
  </si>
  <si>
    <t>유효투표수: 36,757</t>
  </si>
  <si>
    <t>무효투표수: 624</t>
  </si>
  <si>
    <t>투표율: 50.72%</t>
  </si>
  <si>
    <t>기권율: 49.28%</t>
  </si>
  <si>
    <t>유효투표율: 98.33%</t>
  </si>
  <si>
    <t>무효투표율: 1.67%</t>
  </si>
  <si>
    <t>18,747
(51.00%)</t>
  </si>
  <si>
    <t>16,151
(43.94%)</t>
  </si>
  <si>
    <t>1,859
(5.06%)</t>
  </si>
  <si>
    <t>투표수: 29,765</t>
  </si>
  <si>
    <t>유효투표수: 29,098</t>
  </si>
  <si>
    <t>투표율: 42.69%</t>
  </si>
  <si>
    <t>기권율: 57.31%</t>
  </si>
  <si>
    <t>유효투표율: 97.76%</t>
  </si>
  <si>
    <t>무효투표율: 2.24%</t>
  </si>
  <si>
    <t>14,673
(50.43%)</t>
  </si>
  <si>
    <t>13,038
(44.81%)</t>
  </si>
  <si>
    <t>1,387
(4.77%)</t>
  </si>
  <si>
    <t>투표수: 28,205</t>
  </si>
  <si>
    <t>유효투표수: 27,339</t>
  </si>
  <si>
    <t>무효투표수: 866</t>
  </si>
  <si>
    <t>유효투표율: 96.93%</t>
  </si>
  <si>
    <t>무효투표율: 3.07%</t>
  </si>
  <si>
    <t>13,611
(49.79%)</t>
  </si>
  <si>
    <t>12,666
(46.33%)</t>
  </si>
  <si>
    <t>1,062
(3.88%)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</si>
</sst>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2E4A66"/>
      <name val="Dotum"/>
      <family val="3"/>
    </font>
    <font>
      <sz val="9"/>
      <color rgb="FF2E4A66"/>
      <name val="맑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1" fillId="0" borderId="4" xfId="0" applyNumberFormat="1" applyFont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3" borderId="5" xfId="0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49" fontId="0" fillId="4" borderId="9" xfId="0" applyNumberFormat="1" applyFill="1" applyBorder="1" applyAlignment="1">
      <alignment horizontal="center" vertical="center"/>
    </xf>
    <xf numFmtId="49" fontId="0" fillId="4" borderId="14" xfId="0" applyNumberFormat="1" applyFill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0" fontId="6" fillId="0" borderId="23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0" fontId="6" fillId="0" borderId="17" xfId="0" applyNumberFormat="1" applyFont="1" applyBorder="1" applyAlignment="1">
      <alignment horizontal="center" vertical="center"/>
    </xf>
    <xf numFmtId="10" fontId="7" fillId="0" borderId="17" xfId="0" applyNumberFormat="1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10" fontId="6" fillId="0" borderId="23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5" borderId="6" xfId="0" applyNumberFormat="1" applyFill="1" applyBorder="1" applyAlignment="1">
      <alignment horizontal="center" vertical="center"/>
    </xf>
    <xf numFmtId="10" fontId="0" fillId="5" borderId="7" xfId="0" applyNumberFormat="1" applyFill="1" applyBorder="1" applyAlignment="1">
      <alignment horizontal="center" vertical="center"/>
    </xf>
    <xf numFmtId="10" fontId="0" fillId="5" borderId="8" xfId="0" applyNumberFormat="1" applyFill="1" applyBorder="1" applyAlignment="1">
      <alignment horizontal="center" vertical="center"/>
    </xf>
    <xf numFmtId="10" fontId="0" fillId="3" borderId="15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0" fontId="0" fillId="5" borderId="9" xfId="0" applyNumberFormat="1" applyFill="1" applyBorder="1" applyAlignment="1">
      <alignment horizontal="center" vertical="center"/>
    </xf>
    <xf numFmtId="10" fontId="0" fillId="5" borderId="14" xfId="0" applyNumberFormat="1" applyFill="1" applyBorder="1" applyAlignment="1">
      <alignment horizontal="center" vertical="center"/>
    </xf>
    <xf numFmtId="10" fontId="0" fillId="5" borderId="10" xfId="0" applyNumberForma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5B60-B600-41F4-BBCF-C1C41B6F15E3}">
  <dimension ref="A1:R37"/>
  <sheetViews>
    <sheetView zoomScale="85" zoomScaleNormal="85" workbookViewId="0">
      <selection activeCell="R5" sqref="R5"/>
    </sheetView>
  </sheetViews>
  <sheetFormatPr defaultRowHeight="16.5"/>
  <cols>
    <col min="4" max="4" width="20.375" bestFit="1" customWidth="1"/>
    <col min="5" max="5" width="11.375" bestFit="1" customWidth="1"/>
    <col min="8" max="8" width="14.75" customWidth="1"/>
    <col min="9" max="9" width="16.375" customWidth="1"/>
  </cols>
  <sheetData>
    <row r="1" spans="1:18">
      <c r="A1" s="38" t="s">
        <v>107</v>
      </c>
      <c r="B1" s="38" t="s">
        <v>108</v>
      </c>
      <c r="C1" s="38" t="s">
        <v>109</v>
      </c>
      <c r="D1" s="38" t="s">
        <v>110</v>
      </c>
      <c r="E1" s="38" t="s">
        <v>111</v>
      </c>
      <c r="F1" s="38" t="s">
        <v>112</v>
      </c>
      <c r="G1" s="38" t="s">
        <v>113</v>
      </c>
      <c r="H1" s="38" t="s">
        <v>114</v>
      </c>
      <c r="I1" s="38"/>
      <c r="J1" s="38"/>
      <c r="K1" s="38"/>
      <c r="L1" s="38"/>
      <c r="M1" s="38" t="s">
        <v>115</v>
      </c>
      <c r="N1" s="38" t="s">
        <v>116</v>
      </c>
      <c r="O1" s="38" t="s">
        <v>117</v>
      </c>
    </row>
    <row r="2" spans="1:18">
      <c r="A2" s="38"/>
      <c r="B2" s="38"/>
      <c r="C2" s="38"/>
      <c r="D2" s="38"/>
      <c r="E2" s="38"/>
      <c r="F2" s="38" t="s">
        <v>112</v>
      </c>
      <c r="G2" s="38" t="s">
        <v>112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38" t="s">
        <v>112</v>
      </c>
      <c r="N2" s="38" t="s">
        <v>112</v>
      </c>
      <c r="O2" s="38" t="s">
        <v>112</v>
      </c>
    </row>
    <row r="3" spans="1:18" ht="27">
      <c r="A3" s="2" t="s">
        <v>0</v>
      </c>
      <c r="B3" s="2" t="s">
        <v>1</v>
      </c>
      <c r="C3" s="2" t="s">
        <v>1</v>
      </c>
      <c r="D3" s="2" t="s">
        <v>2</v>
      </c>
      <c r="E3" s="2" t="s">
        <v>2</v>
      </c>
      <c r="F3" s="2" t="s">
        <v>2</v>
      </c>
      <c r="G3" s="2" t="s">
        <v>2</v>
      </c>
      <c r="H3" s="3" t="s">
        <v>3</v>
      </c>
      <c r="I3" s="3" t="s">
        <v>4</v>
      </c>
      <c r="J3" s="3" t="s">
        <v>5</v>
      </c>
      <c r="K3" s="3" t="s">
        <v>5</v>
      </c>
      <c r="L3" s="3" t="s">
        <v>5</v>
      </c>
      <c r="M3" s="2" t="s">
        <v>2</v>
      </c>
      <c r="N3" s="2" t="s">
        <v>2</v>
      </c>
      <c r="O3" s="2" t="s">
        <v>2</v>
      </c>
    </row>
    <row r="4" spans="1:18">
      <c r="A4" s="2" t="s">
        <v>0</v>
      </c>
      <c r="B4" s="2" t="s">
        <v>1</v>
      </c>
      <c r="C4" s="2" t="s">
        <v>1</v>
      </c>
      <c r="D4" s="2" t="s">
        <v>6</v>
      </c>
      <c r="E4" s="2" t="s">
        <v>2</v>
      </c>
      <c r="F4" s="7">
        <v>702974</v>
      </c>
      <c r="G4" s="7">
        <v>347476</v>
      </c>
      <c r="H4" s="7">
        <v>180005</v>
      </c>
      <c r="I4" s="7">
        <v>162895</v>
      </c>
      <c r="J4" s="8">
        <v>0</v>
      </c>
      <c r="K4" s="8">
        <v>0</v>
      </c>
      <c r="L4" s="8">
        <v>0</v>
      </c>
      <c r="M4" s="7">
        <v>342900</v>
      </c>
      <c r="N4" s="7">
        <v>4576</v>
      </c>
      <c r="O4" s="7">
        <v>355498</v>
      </c>
      <c r="P4" s="6">
        <f>H4</f>
        <v>180005</v>
      </c>
      <c r="Q4" s="6">
        <f>I4</f>
        <v>162895</v>
      </c>
      <c r="R4" s="6">
        <f>P4+Q4+N4</f>
        <v>347476</v>
      </c>
    </row>
    <row r="5" spans="1:18">
      <c r="A5" s="2" t="s">
        <v>0</v>
      </c>
      <c r="B5" s="2" t="s">
        <v>1</v>
      </c>
      <c r="C5" s="2" t="s">
        <v>1</v>
      </c>
      <c r="D5" s="2" t="s">
        <v>7</v>
      </c>
      <c r="E5" s="2" t="s">
        <v>2</v>
      </c>
      <c r="F5" s="8">
        <v>888</v>
      </c>
      <c r="G5" s="8">
        <v>838</v>
      </c>
      <c r="H5" s="8">
        <v>372</v>
      </c>
      <c r="I5" s="8">
        <v>366</v>
      </c>
      <c r="J5" s="8">
        <v>0</v>
      </c>
      <c r="K5" s="8">
        <v>0</v>
      </c>
      <c r="L5" s="8">
        <v>0</v>
      </c>
      <c r="M5" s="8">
        <v>738</v>
      </c>
      <c r="N5" s="8">
        <v>100</v>
      </c>
      <c r="O5" s="8">
        <v>50</v>
      </c>
      <c r="P5" s="6"/>
    </row>
    <row r="6" spans="1:18">
      <c r="A6" s="2" t="s">
        <v>0</v>
      </c>
      <c r="B6" s="2" t="s">
        <v>1</v>
      </c>
      <c r="C6" s="2" t="s">
        <v>1</v>
      </c>
      <c r="D6" s="2" t="s">
        <v>8</v>
      </c>
      <c r="E6" s="2" t="s">
        <v>2</v>
      </c>
      <c r="F6" s="7">
        <v>38580</v>
      </c>
      <c r="G6" s="7">
        <v>38410</v>
      </c>
      <c r="H6" s="7">
        <v>21165</v>
      </c>
      <c r="I6" s="7">
        <v>16551</v>
      </c>
      <c r="J6" s="8">
        <v>0</v>
      </c>
      <c r="K6" s="8">
        <v>0</v>
      </c>
      <c r="L6" s="8">
        <v>0</v>
      </c>
      <c r="M6" s="7">
        <v>37716</v>
      </c>
      <c r="N6" s="8">
        <v>694</v>
      </c>
      <c r="O6" s="8">
        <v>170</v>
      </c>
    </row>
    <row r="7" spans="1:18" ht="33">
      <c r="A7" s="2" t="s">
        <v>0</v>
      </c>
      <c r="B7" s="2" t="s">
        <v>1</v>
      </c>
      <c r="C7" s="2" t="s">
        <v>1</v>
      </c>
      <c r="D7" s="2" t="s">
        <v>9</v>
      </c>
      <c r="E7" s="2" t="s">
        <v>10</v>
      </c>
      <c r="F7" s="7">
        <v>55544</v>
      </c>
      <c r="G7" s="7">
        <v>21541</v>
      </c>
      <c r="H7" s="7">
        <v>11193</v>
      </c>
      <c r="I7" s="7">
        <v>10045</v>
      </c>
      <c r="J7" s="8">
        <v>0</v>
      </c>
      <c r="K7" s="8">
        <v>0</v>
      </c>
      <c r="L7" s="8">
        <v>0</v>
      </c>
      <c r="M7" s="7">
        <v>21238</v>
      </c>
      <c r="N7" s="8">
        <v>303</v>
      </c>
      <c r="O7" s="7">
        <v>34003</v>
      </c>
      <c r="P7" s="10" t="str">
        <f>TEXT(H7,"#,##0")&amp;CHAR(10)&amp;"("&amp;TEXT((ROUND((H7/(H7+I7)*100),2)),"0.00")&amp;"%)"</f>
        <v>11,193
(52.70%)</v>
      </c>
      <c r="Q7" s="10" t="str">
        <f>TEXT(I7,"#,##0")&amp;CHAR(10)&amp;"("&amp;TEXT((ROUND((I7/(I7+H7)*100),2)),"0.00")&amp;"%)"</f>
        <v>10,045
(47.30%)</v>
      </c>
    </row>
    <row r="8" spans="1:18">
      <c r="A8" s="2" t="s">
        <v>0</v>
      </c>
      <c r="B8" s="2" t="s">
        <v>1</v>
      </c>
      <c r="C8" s="2" t="s">
        <v>1</v>
      </c>
      <c r="D8" s="2" t="s">
        <v>9</v>
      </c>
      <c r="E8" s="2" t="s">
        <v>11</v>
      </c>
      <c r="F8" s="7">
        <v>7646</v>
      </c>
      <c r="G8" s="7">
        <v>7620</v>
      </c>
      <c r="H8" s="7">
        <v>4040</v>
      </c>
      <c r="I8" s="7">
        <v>3455</v>
      </c>
      <c r="J8" s="8">
        <v>0</v>
      </c>
      <c r="K8" s="8">
        <v>0</v>
      </c>
      <c r="L8" s="8">
        <v>0</v>
      </c>
      <c r="M8" s="7">
        <v>7495</v>
      </c>
      <c r="N8" s="8">
        <v>125</v>
      </c>
      <c r="O8" s="8">
        <v>26</v>
      </c>
      <c r="P8" s="10"/>
      <c r="Q8" s="10"/>
    </row>
    <row r="9" spans="1:18">
      <c r="A9" s="2" t="s">
        <v>0</v>
      </c>
      <c r="B9" s="2" t="s">
        <v>1</v>
      </c>
      <c r="C9" s="2" t="s">
        <v>1</v>
      </c>
      <c r="D9" s="2" t="s">
        <v>9</v>
      </c>
      <c r="E9" s="2" t="s">
        <v>12</v>
      </c>
      <c r="F9" s="7">
        <v>47898</v>
      </c>
      <c r="G9" s="7">
        <v>13921</v>
      </c>
      <c r="H9" s="7">
        <v>7153</v>
      </c>
      <c r="I9" s="7">
        <v>6590</v>
      </c>
      <c r="J9" s="8">
        <v>0</v>
      </c>
      <c r="K9" s="8">
        <v>0</v>
      </c>
      <c r="L9" s="8">
        <v>0</v>
      </c>
      <c r="M9" s="7">
        <v>13743</v>
      </c>
      <c r="N9" s="8">
        <v>178</v>
      </c>
      <c r="O9" s="7">
        <v>33977</v>
      </c>
      <c r="P9" s="10"/>
      <c r="Q9" s="10"/>
    </row>
    <row r="10" spans="1:18" ht="33">
      <c r="A10" s="2" t="s">
        <v>0</v>
      </c>
      <c r="B10" s="2" t="s">
        <v>1</v>
      </c>
      <c r="C10" s="2" t="s">
        <v>1</v>
      </c>
      <c r="D10" s="2" t="s">
        <v>13</v>
      </c>
      <c r="E10" s="2" t="s">
        <v>10</v>
      </c>
      <c r="F10" s="7">
        <v>75081</v>
      </c>
      <c r="G10" s="7">
        <v>33692</v>
      </c>
      <c r="H10" s="7">
        <v>17931</v>
      </c>
      <c r="I10" s="7">
        <v>15270</v>
      </c>
      <c r="J10" s="8">
        <v>0</v>
      </c>
      <c r="K10" s="8">
        <v>0</v>
      </c>
      <c r="L10" s="8">
        <v>0</v>
      </c>
      <c r="M10" s="7">
        <v>33201</v>
      </c>
      <c r="N10" s="8">
        <v>491</v>
      </c>
      <c r="O10" s="7">
        <v>41389</v>
      </c>
      <c r="P10" s="10" t="str">
        <f t="shared" ref="P10:P22" si="0">TEXT(H10,"#,##0")&amp;CHAR(10)&amp;"("&amp;TEXT((ROUND((H10/(H10+I10)*100),2)),"0.00")&amp;"%)"</f>
        <v>17,931
(54.01%)</v>
      </c>
      <c r="Q10" s="10" t="str">
        <f t="shared" ref="Q10:Q22" si="1">TEXT(I10,"#,##0")&amp;CHAR(10)&amp;"("&amp;TEXT((ROUND((I10/(I10+H10)*100),2)),"0.00")&amp;"%)"</f>
        <v>15,270
(45.99%)</v>
      </c>
    </row>
    <row r="11" spans="1:18">
      <c r="A11" s="2" t="s">
        <v>0</v>
      </c>
      <c r="B11" s="2" t="s">
        <v>1</v>
      </c>
      <c r="C11" s="2" t="s">
        <v>1</v>
      </c>
      <c r="D11" s="2" t="s">
        <v>13</v>
      </c>
      <c r="E11" s="2" t="s">
        <v>11</v>
      </c>
      <c r="F11" s="7">
        <v>11409</v>
      </c>
      <c r="G11" s="7">
        <v>11356</v>
      </c>
      <c r="H11" s="7">
        <v>6259</v>
      </c>
      <c r="I11" s="7">
        <v>4875</v>
      </c>
      <c r="J11" s="8">
        <v>0</v>
      </c>
      <c r="K11" s="8">
        <v>0</v>
      </c>
      <c r="L11" s="8">
        <v>0</v>
      </c>
      <c r="M11" s="7">
        <v>11134</v>
      </c>
      <c r="N11" s="8">
        <v>222</v>
      </c>
      <c r="O11" s="8">
        <v>53</v>
      </c>
      <c r="P11" s="10"/>
      <c r="Q11" s="10"/>
    </row>
    <row r="12" spans="1:18">
      <c r="A12" s="2" t="s">
        <v>0</v>
      </c>
      <c r="B12" s="2" t="s">
        <v>1</v>
      </c>
      <c r="C12" s="2" t="s">
        <v>1</v>
      </c>
      <c r="D12" s="2" t="s">
        <v>13</v>
      </c>
      <c r="E12" s="2" t="s">
        <v>12</v>
      </c>
      <c r="F12" s="7">
        <v>63672</v>
      </c>
      <c r="G12" s="7">
        <v>22336</v>
      </c>
      <c r="H12" s="7">
        <v>11672</v>
      </c>
      <c r="I12" s="7">
        <v>10395</v>
      </c>
      <c r="J12" s="8">
        <v>0</v>
      </c>
      <c r="K12" s="8">
        <v>0</v>
      </c>
      <c r="L12" s="8">
        <v>0</v>
      </c>
      <c r="M12" s="7">
        <v>22067</v>
      </c>
      <c r="N12" s="8">
        <v>269</v>
      </c>
      <c r="O12" s="7">
        <v>41336</v>
      </c>
      <c r="P12" s="10"/>
      <c r="Q12" s="10"/>
    </row>
    <row r="13" spans="1:18" ht="33">
      <c r="A13" s="2" t="s">
        <v>0</v>
      </c>
      <c r="B13" s="2" t="s">
        <v>1</v>
      </c>
      <c r="C13" s="2" t="s">
        <v>1</v>
      </c>
      <c r="D13" s="2" t="s">
        <v>14</v>
      </c>
      <c r="E13" s="2" t="s">
        <v>10</v>
      </c>
      <c r="F13" s="7">
        <v>33255</v>
      </c>
      <c r="G13" s="7">
        <v>15975</v>
      </c>
      <c r="H13" s="7">
        <v>7740</v>
      </c>
      <c r="I13" s="7">
        <v>8076</v>
      </c>
      <c r="J13" s="8">
        <v>0</v>
      </c>
      <c r="K13" s="8">
        <v>0</v>
      </c>
      <c r="L13" s="8">
        <v>0</v>
      </c>
      <c r="M13" s="7">
        <v>15816</v>
      </c>
      <c r="N13" s="8">
        <v>159</v>
      </c>
      <c r="O13" s="7">
        <v>17280</v>
      </c>
      <c r="P13" s="10" t="str">
        <f t="shared" si="0"/>
        <v>7,740
(48.94%)</v>
      </c>
      <c r="Q13" s="10" t="str">
        <f t="shared" si="1"/>
        <v>8,076
(51.06%)</v>
      </c>
    </row>
    <row r="14" spans="1:18">
      <c r="A14" s="2" t="s">
        <v>0</v>
      </c>
      <c r="B14" s="2" t="s">
        <v>1</v>
      </c>
      <c r="C14" s="2" t="s">
        <v>1</v>
      </c>
      <c r="D14" s="2" t="s">
        <v>14</v>
      </c>
      <c r="E14" s="2" t="s">
        <v>11</v>
      </c>
      <c r="F14" s="7">
        <v>5125</v>
      </c>
      <c r="G14" s="7">
        <v>5097</v>
      </c>
      <c r="H14" s="7">
        <v>2511</v>
      </c>
      <c r="I14" s="7">
        <v>2536</v>
      </c>
      <c r="J14" s="8">
        <v>0</v>
      </c>
      <c r="K14" s="8">
        <v>0</v>
      </c>
      <c r="L14" s="8">
        <v>0</v>
      </c>
      <c r="M14" s="7">
        <v>5047</v>
      </c>
      <c r="N14" s="8">
        <v>50</v>
      </c>
      <c r="O14" s="8">
        <v>28</v>
      </c>
      <c r="P14" s="10"/>
      <c r="Q14" s="10"/>
    </row>
    <row r="15" spans="1:18">
      <c r="A15" s="2" t="s">
        <v>0</v>
      </c>
      <c r="B15" s="2" t="s">
        <v>1</v>
      </c>
      <c r="C15" s="2" t="s">
        <v>1</v>
      </c>
      <c r="D15" s="2" t="s">
        <v>14</v>
      </c>
      <c r="E15" s="2" t="s">
        <v>12</v>
      </c>
      <c r="F15" s="7">
        <v>28130</v>
      </c>
      <c r="G15" s="7">
        <v>10878</v>
      </c>
      <c r="H15" s="7">
        <v>5229</v>
      </c>
      <c r="I15" s="7">
        <v>5540</v>
      </c>
      <c r="J15" s="8">
        <v>0</v>
      </c>
      <c r="K15" s="8">
        <v>0</v>
      </c>
      <c r="L15" s="8">
        <v>0</v>
      </c>
      <c r="M15" s="7">
        <v>10769</v>
      </c>
      <c r="N15" s="8">
        <v>109</v>
      </c>
      <c r="O15" s="7">
        <v>17252</v>
      </c>
      <c r="P15" s="10"/>
      <c r="Q15" s="10"/>
    </row>
    <row r="16" spans="1:18" ht="33">
      <c r="A16" s="2" t="s">
        <v>0</v>
      </c>
      <c r="B16" s="2" t="s">
        <v>1</v>
      </c>
      <c r="C16" s="2" t="s">
        <v>1</v>
      </c>
      <c r="D16" s="2" t="s">
        <v>15</v>
      </c>
      <c r="E16" s="2" t="s">
        <v>10</v>
      </c>
      <c r="F16" s="7">
        <v>104891</v>
      </c>
      <c r="G16" s="7">
        <v>51633</v>
      </c>
      <c r="H16" s="7">
        <v>25511</v>
      </c>
      <c r="I16" s="7">
        <v>25519</v>
      </c>
      <c r="J16" s="8">
        <v>0</v>
      </c>
      <c r="K16" s="8">
        <v>0</v>
      </c>
      <c r="L16" s="8">
        <v>0</v>
      </c>
      <c r="M16" s="7">
        <v>51030</v>
      </c>
      <c r="N16" s="8">
        <v>603</v>
      </c>
      <c r="O16" s="7">
        <v>53258</v>
      </c>
      <c r="P16" s="10" t="str">
        <f t="shared" si="0"/>
        <v>25,511
(49.99%)</v>
      </c>
      <c r="Q16" s="10" t="str">
        <f t="shared" si="1"/>
        <v>25,519
(50.01%)</v>
      </c>
    </row>
    <row r="17" spans="1:17">
      <c r="A17" s="2" t="s">
        <v>0</v>
      </c>
      <c r="B17" s="2" t="s">
        <v>1</v>
      </c>
      <c r="C17" s="2" t="s">
        <v>1</v>
      </c>
      <c r="D17" s="2" t="s">
        <v>15</v>
      </c>
      <c r="E17" s="2" t="s">
        <v>11</v>
      </c>
      <c r="F17" s="7">
        <v>14948</v>
      </c>
      <c r="G17" s="7">
        <v>14888</v>
      </c>
      <c r="H17" s="7">
        <v>7805</v>
      </c>
      <c r="I17" s="7">
        <v>6824</v>
      </c>
      <c r="J17" s="8">
        <v>0</v>
      </c>
      <c r="K17" s="8">
        <v>0</v>
      </c>
      <c r="L17" s="8">
        <v>0</v>
      </c>
      <c r="M17" s="7">
        <v>14629</v>
      </c>
      <c r="N17" s="8">
        <v>259</v>
      </c>
      <c r="O17" s="8">
        <v>60</v>
      </c>
      <c r="P17" s="10"/>
      <c r="Q17" s="10"/>
    </row>
    <row r="18" spans="1:17">
      <c r="A18" s="2" t="s">
        <v>0</v>
      </c>
      <c r="B18" s="2" t="s">
        <v>1</v>
      </c>
      <c r="C18" s="2" t="s">
        <v>1</v>
      </c>
      <c r="D18" s="2" t="s">
        <v>15</v>
      </c>
      <c r="E18" s="2" t="s">
        <v>12</v>
      </c>
      <c r="F18" s="7">
        <v>89943</v>
      </c>
      <c r="G18" s="7">
        <v>36745</v>
      </c>
      <c r="H18" s="7">
        <v>17706</v>
      </c>
      <c r="I18" s="7">
        <v>18695</v>
      </c>
      <c r="J18" s="8">
        <v>0</v>
      </c>
      <c r="K18" s="8">
        <v>0</v>
      </c>
      <c r="L18" s="8">
        <v>0</v>
      </c>
      <c r="M18" s="7">
        <v>36401</v>
      </c>
      <c r="N18" s="8">
        <v>344</v>
      </c>
      <c r="O18" s="7">
        <v>53198</v>
      </c>
      <c r="P18" s="10"/>
      <c r="Q18" s="10"/>
    </row>
    <row r="19" spans="1:17" ht="33">
      <c r="A19" s="2" t="s">
        <v>0</v>
      </c>
      <c r="B19" s="2" t="s">
        <v>1</v>
      </c>
      <c r="C19" s="2" t="s">
        <v>1</v>
      </c>
      <c r="D19" s="2" t="s">
        <v>16</v>
      </c>
      <c r="E19" s="2" t="s">
        <v>10</v>
      </c>
      <c r="F19" s="7">
        <v>65723</v>
      </c>
      <c r="G19" s="7">
        <v>35033</v>
      </c>
      <c r="H19" s="7">
        <v>18561</v>
      </c>
      <c r="I19" s="7">
        <v>16251</v>
      </c>
      <c r="J19" s="8">
        <v>0</v>
      </c>
      <c r="K19" s="8">
        <v>0</v>
      </c>
      <c r="L19" s="8">
        <v>0</v>
      </c>
      <c r="M19" s="7">
        <v>34812</v>
      </c>
      <c r="N19" s="8">
        <v>221</v>
      </c>
      <c r="O19" s="7">
        <v>30690</v>
      </c>
      <c r="P19" s="10" t="str">
        <f t="shared" si="0"/>
        <v>18,561
(53.32%)</v>
      </c>
      <c r="Q19" s="10" t="str">
        <f t="shared" si="1"/>
        <v>16,251
(46.68%)</v>
      </c>
    </row>
    <row r="20" spans="1:17">
      <c r="A20" s="2" t="s">
        <v>0</v>
      </c>
      <c r="B20" s="2" t="s">
        <v>1</v>
      </c>
      <c r="C20" s="2" t="s">
        <v>1</v>
      </c>
      <c r="D20" s="2" t="s">
        <v>16</v>
      </c>
      <c r="E20" s="2" t="s">
        <v>11</v>
      </c>
      <c r="F20" s="7">
        <v>12380</v>
      </c>
      <c r="G20" s="7">
        <v>12312</v>
      </c>
      <c r="H20" s="7">
        <v>6799</v>
      </c>
      <c r="I20" s="7">
        <v>5432</v>
      </c>
      <c r="J20" s="8">
        <v>0</v>
      </c>
      <c r="K20" s="8">
        <v>0</v>
      </c>
      <c r="L20" s="8">
        <v>0</v>
      </c>
      <c r="M20" s="7">
        <v>12231</v>
      </c>
      <c r="N20" s="8">
        <v>81</v>
      </c>
      <c r="O20" s="8">
        <v>68</v>
      </c>
      <c r="P20" s="10"/>
      <c r="Q20" s="10"/>
    </row>
    <row r="21" spans="1:17">
      <c r="A21" s="2" t="s">
        <v>0</v>
      </c>
      <c r="B21" s="2" t="s">
        <v>1</v>
      </c>
      <c r="C21" s="2" t="s">
        <v>1</v>
      </c>
      <c r="D21" s="2" t="s">
        <v>16</v>
      </c>
      <c r="E21" s="2" t="s">
        <v>12</v>
      </c>
      <c r="F21" s="7">
        <v>53343</v>
      </c>
      <c r="G21" s="7">
        <v>22721</v>
      </c>
      <c r="H21" s="7">
        <v>11762</v>
      </c>
      <c r="I21" s="7">
        <v>10819</v>
      </c>
      <c r="J21" s="8">
        <v>0</v>
      </c>
      <c r="K21" s="8">
        <v>0</v>
      </c>
      <c r="L21" s="8">
        <v>0</v>
      </c>
      <c r="M21" s="7">
        <v>22581</v>
      </c>
      <c r="N21" s="8">
        <v>140</v>
      </c>
      <c r="O21" s="7">
        <v>30622</v>
      </c>
      <c r="P21" s="10"/>
      <c r="Q21" s="10"/>
    </row>
    <row r="22" spans="1:17" ht="33">
      <c r="A22" s="2" t="s">
        <v>0</v>
      </c>
      <c r="B22" s="2" t="s">
        <v>1</v>
      </c>
      <c r="C22" s="2" t="s">
        <v>1</v>
      </c>
      <c r="D22" s="2" t="s">
        <v>17</v>
      </c>
      <c r="E22" s="2" t="s">
        <v>10</v>
      </c>
      <c r="F22" s="7">
        <v>69217</v>
      </c>
      <c r="G22" s="7">
        <v>31965</v>
      </c>
      <c r="H22" s="7">
        <v>16099</v>
      </c>
      <c r="I22" s="7">
        <v>15410</v>
      </c>
      <c r="J22" s="8">
        <v>0</v>
      </c>
      <c r="K22" s="8">
        <v>0</v>
      </c>
      <c r="L22" s="8">
        <v>0</v>
      </c>
      <c r="M22" s="7">
        <v>31509</v>
      </c>
      <c r="N22" s="8">
        <v>456</v>
      </c>
      <c r="O22" s="7">
        <v>37252</v>
      </c>
      <c r="P22" s="10" t="str">
        <f t="shared" si="0"/>
        <v>16,099
(51.09%)</v>
      </c>
      <c r="Q22" s="10" t="str">
        <f t="shared" si="1"/>
        <v>15,410
(48.91%)</v>
      </c>
    </row>
    <row r="23" spans="1:17">
      <c r="A23" s="2" t="s">
        <v>0</v>
      </c>
      <c r="B23" s="2" t="s">
        <v>1</v>
      </c>
      <c r="C23" s="2" t="s">
        <v>1</v>
      </c>
      <c r="D23" s="2" t="s">
        <v>17</v>
      </c>
      <c r="E23" s="2" t="s">
        <v>11</v>
      </c>
      <c r="F23" s="7">
        <v>10727</v>
      </c>
      <c r="G23" s="7">
        <v>10701</v>
      </c>
      <c r="H23" s="7">
        <v>5500</v>
      </c>
      <c r="I23" s="7">
        <v>4984</v>
      </c>
      <c r="J23" s="8">
        <v>0</v>
      </c>
      <c r="K23" s="8">
        <v>0</v>
      </c>
      <c r="L23" s="8">
        <v>0</v>
      </c>
      <c r="M23" s="7">
        <v>10484</v>
      </c>
      <c r="N23" s="8">
        <v>217</v>
      </c>
      <c r="O23" s="8">
        <v>26</v>
      </c>
      <c r="P23" s="10"/>
      <c r="Q23" s="10"/>
    </row>
    <row r="24" spans="1:17">
      <c r="A24" s="2" t="s">
        <v>0</v>
      </c>
      <c r="B24" s="2" t="s">
        <v>1</v>
      </c>
      <c r="C24" s="2" t="s">
        <v>1</v>
      </c>
      <c r="D24" s="2" t="s">
        <v>17</v>
      </c>
      <c r="E24" s="2" t="s">
        <v>12</v>
      </c>
      <c r="F24" s="7">
        <v>58490</v>
      </c>
      <c r="G24" s="7">
        <v>21264</v>
      </c>
      <c r="H24" s="7">
        <v>10599</v>
      </c>
      <c r="I24" s="7">
        <v>10426</v>
      </c>
      <c r="J24" s="8">
        <v>0</v>
      </c>
      <c r="K24" s="8">
        <v>0</v>
      </c>
      <c r="L24" s="8">
        <v>0</v>
      </c>
      <c r="M24" s="7">
        <v>21025</v>
      </c>
      <c r="N24" s="8">
        <v>239</v>
      </c>
      <c r="O24" s="7">
        <v>37226</v>
      </c>
      <c r="P24" s="10"/>
      <c r="Q24" s="10"/>
    </row>
    <row r="25" spans="1:17" ht="33">
      <c r="A25" s="2" t="s">
        <v>0</v>
      </c>
      <c r="B25" s="2" t="s">
        <v>1</v>
      </c>
      <c r="C25" s="2" t="s">
        <v>1</v>
      </c>
      <c r="D25" s="2" t="s">
        <v>18</v>
      </c>
      <c r="E25" s="2" t="s">
        <v>10</v>
      </c>
      <c r="F25" s="7">
        <v>47320</v>
      </c>
      <c r="G25" s="7">
        <v>22429</v>
      </c>
      <c r="H25" s="7">
        <v>11184</v>
      </c>
      <c r="I25" s="7">
        <v>10939</v>
      </c>
      <c r="J25" s="8">
        <v>0</v>
      </c>
      <c r="K25" s="8">
        <v>0</v>
      </c>
      <c r="L25" s="8">
        <v>0</v>
      </c>
      <c r="M25" s="7">
        <v>22123</v>
      </c>
      <c r="N25" s="8">
        <v>306</v>
      </c>
      <c r="O25" s="7">
        <v>24891</v>
      </c>
      <c r="P25" s="10" t="str">
        <f t="shared" ref="P25:P37" si="2">TEXT(H25,"#,##0")&amp;CHAR(10)&amp;"("&amp;TEXT((ROUND((H25/(H25+I25)*100),2)),"0.00")&amp;"%)"</f>
        <v>11,184
(50.55%)</v>
      </c>
      <c r="Q25" s="10" t="str">
        <f t="shared" ref="Q25:Q37" si="3">TEXT(I25,"#,##0")&amp;CHAR(10)&amp;"("&amp;TEXT((ROUND((I25/(I25+H25)*100),2)),"0.00")&amp;"%)"</f>
        <v>10,939
(49.45%)</v>
      </c>
    </row>
    <row r="26" spans="1:17">
      <c r="A26" s="2" t="s">
        <v>0</v>
      </c>
      <c r="B26" s="2" t="s">
        <v>1</v>
      </c>
      <c r="C26" s="2" t="s">
        <v>1</v>
      </c>
      <c r="D26" s="2" t="s">
        <v>18</v>
      </c>
      <c r="E26" s="2" t="s">
        <v>11</v>
      </c>
      <c r="F26" s="7">
        <v>7201</v>
      </c>
      <c r="G26" s="7">
        <v>7187</v>
      </c>
      <c r="H26" s="7">
        <v>3644</v>
      </c>
      <c r="I26" s="7">
        <v>3424</v>
      </c>
      <c r="J26" s="8">
        <v>0</v>
      </c>
      <c r="K26" s="8">
        <v>0</v>
      </c>
      <c r="L26" s="8">
        <v>0</v>
      </c>
      <c r="M26" s="7">
        <v>7068</v>
      </c>
      <c r="N26" s="8">
        <v>119</v>
      </c>
      <c r="O26" s="8">
        <v>14</v>
      </c>
      <c r="P26" s="10"/>
      <c r="Q26" s="10"/>
    </row>
    <row r="27" spans="1:17">
      <c r="A27" s="2" t="s">
        <v>0</v>
      </c>
      <c r="B27" s="2" t="s">
        <v>1</v>
      </c>
      <c r="C27" s="2" t="s">
        <v>1</v>
      </c>
      <c r="D27" s="2" t="s">
        <v>18</v>
      </c>
      <c r="E27" s="2" t="s">
        <v>12</v>
      </c>
      <c r="F27" s="7">
        <v>40119</v>
      </c>
      <c r="G27" s="7">
        <v>15242</v>
      </c>
      <c r="H27" s="7">
        <v>7540</v>
      </c>
      <c r="I27" s="7">
        <v>7515</v>
      </c>
      <c r="J27" s="8">
        <v>0</v>
      </c>
      <c r="K27" s="8">
        <v>0</v>
      </c>
      <c r="L27" s="8">
        <v>0</v>
      </c>
      <c r="M27" s="7">
        <v>15055</v>
      </c>
      <c r="N27" s="8">
        <v>187</v>
      </c>
      <c r="O27" s="7">
        <v>24877</v>
      </c>
      <c r="P27" s="10"/>
      <c r="Q27" s="10"/>
    </row>
    <row r="28" spans="1:17" ht="33">
      <c r="A28" s="2" t="s">
        <v>0</v>
      </c>
      <c r="B28" s="2" t="s">
        <v>1</v>
      </c>
      <c r="C28" s="2" t="s">
        <v>1</v>
      </c>
      <c r="D28" s="2" t="s">
        <v>19</v>
      </c>
      <c r="E28" s="2" t="s">
        <v>10</v>
      </c>
      <c r="F28" s="7">
        <v>73698</v>
      </c>
      <c r="G28" s="7">
        <v>37396</v>
      </c>
      <c r="H28" s="7">
        <v>20140</v>
      </c>
      <c r="I28" s="7">
        <v>16844</v>
      </c>
      <c r="J28" s="8">
        <v>0</v>
      </c>
      <c r="K28" s="8">
        <v>0</v>
      </c>
      <c r="L28" s="8">
        <v>0</v>
      </c>
      <c r="M28" s="7">
        <v>36984</v>
      </c>
      <c r="N28" s="8">
        <v>412</v>
      </c>
      <c r="O28" s="7">
        <v>36302</v>
      </c>
      <c r="P28" s="10" t="str">
        <f t="shared" si="2"/>
        <v>20,140
(54.46%)</v>
      </c>
      <c r="Q28" s="10" t="str">
        <f t="shared" si="3"/>
        <v>16,844
(45.54%)</v>
      </c>
    </row>
    <row r="29" spans="1:17">
      <c r="A29" s="2" t="s">
        <v>0</v>
      </c>
      <c r="B29" s="2" t="s">
        <v>1</v>
      </c>
      <c r="C29" s="2" t="s">
        <v>1</v>
      </c>
      <c r="D29" s="2" t="s">
        <v>19</v>
      </c>
      <c r="E29" s="2" t="s">
        <v>11</v>
      </c>
      <c r="F29" s="7">
        <v>10306</v>
      </c>
      <c r="G29" s="7">
        <v>10278</v>
      </c>
      <c r="H29" s="7">
        <v>5643</v>
      </c>
      <c r="I29" s="7">
        <v>4489</v>
      </c>
      <c r="J29" s="8">
        <v>0</v>
      </c>
      <c r="K29" s="8">
        <v>0</v>
      </c>
      <c r="L29" s="8">
        <v>0</v>
      </c>
      <c r="M29" s="7">
        <v>10132</v>
      </c>
      <c r="N29" s="8">
        <v>146</v>
      </c>
      <c r="O29" s="8">
        <v>28</v>
      </c>
      <c r="P29" s="10"/>
      <c r="Q29" s="10"/>
    </row>
    <row r="30" spans="1:17">
      <c r="A30" s="2" t="s">
        <v>0</v>
      </c>
      <c r="B30" s="2" t="s">
        <v>1</v>
      </c>
      <c r="C30" s="2" t="s">
        <v>1</v>
      </c>
      <c r="D30" s="2" t="s">
        <v>19</v>
      </c>
      <c r="E30" s="2" t="s">
        <v>12</v>
      </c>
      <c r="F30" s="7">
        <v>63392</v>
      </c>
      <c r="G30" s="7">
        <v>27118</v>
      </c>
      <c r="H30" s="7">
        <v>14497</v>
      </c>
      <c r="I30" s="7">
        <v>12355</v>
      </c>
      <c r="J30" s="8">
        <v>0</v>
      </c>
      <c r="K30" s="8">
        <v>0</v>
      </c>
      <c r="L30" s="8">
        <v>0</v>
      </c>
      <c r="M30" s="7">
        <v>26852</v>
      </c>
      <c r="N30" s="8">
        <v>266</v>
      </c>
      <c r="O30" s="7">
        <v>36274</v>
      </c>
      <c r="P30" s="10"/>
      <c r="Q30" s="10"/>
    </row>
    <row r="31" spans="1:17" ht="33">
      <c r="A31" s="2" t="s">
        <v>0</v>
      </c>
      <c r="B31" s="2" t="s">
        <v>1</v>
      </c>
      <c r="C31" s="2" t="s">
        <v>1</v>
      </c>
      <c r="D31" s="2" t="s">
        <v>20</v>
      </c>
      <c r="E31" s="2" t="s">
        <v>10</v>
      </c>
      <c r="F31" s="7">
        <v>69725</v>
      </c>
      <c r="G31" s="7">
        <v>29800</v>
      </c>
      <c r="H31" s="7">
        <v>15543</v>
      </c>
      <c r="I31" s="7">
        <v>13847</v>
      </c>
      <c r="J31" s="8">
        <v>0</v>
      </c>
      <c r="K31" s="8">
        <v>0</v>
      </c>
      <c r="L31" s="8">
        <v>0</v>
      </c>
      <c r="M31" s="7">
        <v>29390</v>
      </c>
      <c r="N31" s="8">
        <v>410</v>
      </c>
      <c r="O31" s="7">
        <v>39925</v>
      </c>
      <c r="P31" s="10" t="str">
        <f t="shared" si="2"/>
        <v>15,543
(52.89%)</v>
      </c>
      <c r="Q31" s="10" t="str">
        <f t="shared" si="3"/>
        <v>13,847
(47.11%)</v>
      </c>
    </row>
    <row r="32" spans="1:17">
      <c r="A32" s="2" t="s">
        <v>0</v>
      </c>
      <c r="B32" s="2" t="s">
        <v>1</v>
      </c>
      <c r="C32" s="2" t="s">
        <v>1</v>
      </c>
      <c r="D32" s="2" t="s">
        <v>20</v>
      </c>
      <c r="E32" s="2" t="s">
        <v>11</v>
      </c>
      <c r="F32" s="7">
        <v>9420</v>
      </c>
      <c r="G32" s="7">
        <v>9394</v>
      </c>
      <c r="H32" s="7">
        <v>5116</v>
      </c>
      <c r="I32" s="7">
        <v>4112</v>
      </c>
      <c r="J32" s="8">
        <v>0</v>
      </c>
      <c r="K32" s="8">
        <v>0</v>
      </c>
      <c r="L32" s="8">
        <v>0</v>
      </c>
      <c r="M32" s="7">
        <v>9228</v>
      </c>
      <c r="N32" s="8">
        <v>166</v>
      </c>
      <c r="O32" s="8">
        <v>26</v>
      </c>
      <c r="P32" s="10"/>
      <c r="Q32" s="10"/>
    </row>
    <row r="33" spans="1:17">
      <c r="A33" s="2" t="s">
        <v>0</v>
      </c>
      <c r="B33" s="2" t="s">
        <v>1</v>
      </c>
      <c r="C33" s="2" t="s">
        <v>1</v>
      </c>
      <c r="D33" s="2" t="s">
        <v>20</v>
      </c>
      <c r="E33" s="2" t="s">
        <v>12</v>
      </c>
      <c r="F33" s="7">
        <v>60305</v>
      </c>
      <c r="G33" s="7">
        <v>20406</v>
      </c>
      <c r="H33" s="7">
        <v>10427</v>
      </c>
      <c r="I33" s="7">
        <v>9735</v>
      </c>
      <c r="J33" s="8">
        <v>0</v>
      </c>
      <c r="K33" s="8">
        <v>0</v>
      </c>
      <c r="L33" s="8">
        <v>0</v>
      </c>
      <c r="M33" s="7">
        <v>20162</v>
      </c>
      <c r="N33" s="8">
        <v>244</v>
      </c>
      <c r="O33" s="7">
        <v>39899</v>
      </c>
      <c r="P33" s="10"/>
      <c r="Q33" s="10"/>
    </row>
    <row r="34" spans="1:17" ht="33">
      <c r="A34" s="2" t="s">
        <v>0</v>
      </c>
      <c r="B34" s="2" t="s">
        <v>1</v>
      </c>
      <c r="C34" s="2" t="s">
        <v>1</v>
      </c>
      <c r="D34" s="2" t="s">
        <v>21</v>
      </c>
      <c r="E34" s="2" t="s">
        <v>10</v>
      </c>
      <c r="F34" s="7">
        <v>69052</v>
      </c>
      <c r="G34" s="7">
        <v>28207</v>
      </c>
      <c r="H34" s="7">
        <v>14296</v>
      </c>
      <c r="I34" s="7">
        <v>13520</v>
      </c>
      <c r="J34" s="8">
        <v>0</v>
      </c>
      <c r="K34" s="8">
        <v>0</v>
      </c>
      <c r="L34" s="8">
        <v>0</v>
      </c>
      <c r="M34" s="7">
        <v>27816</v>
      </c>
      <c r="N34" s="8">
        <v>391</v>
      </c>
      <c r="O34" s="7">
        <v>40845</v>
      </c>
      <c r="P34" s="10" t="str">
        <f t="shared" si="2"/>
        <v>14,296
(51.39%)</v>
      </c>
      <c r="Q34" s="10" t="str">
        <f t="shared" si="3"/>
        <v>13,520
(48.61%)</v>
      </c>
    </row>
    <row r="35" spans="1:17">
      <c r="A35" s="2" t="s">
        <v>0</v>
      </c>
      <c r="B35" s="2" t="s">
        <v>1</v>
      </c>
      <c r="C35" s="2" t="s">
        <v>1</v>
      </c>
      <c r="D35" s="2" t="s">
        <v>21</v>
      </c>
      <c r="E35" s="2" t="s">
        <v>11</v>
      </c>
      <c r="F35" s="7">
        <v>7478</v>
      </c>
      <c r="G35" s="7">
        <v>7456</v>
      </c>
      <c r="H35" s="7">
        <v>3955</v>
      </c>
      <c r="I35" s="7">
        <v>3429</v>
      </c>
      <c r="J35" s="8">
        <v>0</v>
      </c>
      <c r="K35" s="8">
        <v>0</v>
      </c>
      <c r="L35" s="8">
        <v>0</v>
      </c>
      <c r="M35" s="7">
        <v>7384</v>
      </c>
      <c r="N35" s="8">
        <v>72</v>
      </c>
      <c r="O35" s="8">
        <v>22</v>
      </c>
      <c r="P35" s="10"/>
      <c r="Q35" s="10"/>
    </row>
    <row r="36" spans="1:17">
      <c r="A36" s="2" t="s">
        <v>0</v>
      </c>
      <c r="B36" s="2" t="s">
        <v>1</v>
      </c>
      <c r="C36" s="2" t="s">
        <v>1</v>
      </c>
      <c r="D36" s="2" t="s">
        <v>21</v>
      </c>
      <c r="E36" s="2" t="s">
        <v>12</v>
      </c>
      <c r="F36" s="7">
        <v>61574</v>
      </c>
      <c r="G36" s="7">
        <v>20751</v>
      </c>
      <c r="H36" s="7">
        <v>10341</v>
      </c>
      <c r="I36" s="7">
        <v>10091</v>
      </c>
      <c r="J36" s="8">
        <v>0</v>
      </c>
      <c r="K36" s="8">
        <v>0</v>
      </c>
      <c r="L36" s="8">
        <v>0</v>
      </c>
      <c r="M36" s="7">
        <v>20432</v>
      </c>
      <c r="N36" s="8">
        <v>319</v>
      </c>
      <c r="O36" s="7">
        <v>40823</v>
      </c>
      <c r="P36" s="10"/>
      <c r="Q36" s="10"/>
    </row>
    <row r="37" spans="1:17" ht="33">
      <c r="A37" s="2" t="s">
        <v>0</v>
      </c>
      <c r="B37" s="2" t="s">
        <v>1</v>
      </c>
      <c r="C37" s="2" t="s">
        <v>1</v>
      </c>
      <c r="D37" s="2" t="s">
        <v>22</v>
      </c>
      <c r="E37" s="2" t="s">
        <v>2</v>
      </c>
      <c r="F37" s="8">
        <v>0</v>
      </c>
      <c r="G37" s="8">
        <v>557</v>
      </c>
      <c r="H37" s="8">
        <v>270</v>
      </c>
      <c r="I37" s="8">
        <v>257</v>
      </c>
      <c r="J37" s="8">
        <v>0</v>
      </c>
      <c r="K37" s="8">
        <v>0</v>
      </c>
      <c r="L37" s="8">
        <v>0</v>
      </c>
      <c r="M37" s="8">
        <v>527</v>
      </c>
      <c r="N37" s="8">
        <v>30</v>
      </c>
      <c r="O37" s="8">
        <v>-557</v>
      </c>
      <c r="P37" s="10" t="str">
        <f t="shared" si="2"/>
        <v>270
(51.23%)</v>
      </c>
      <c r="Q37" s="10" t="str">
        <f t="shared" si="3"/>
        <v>257
(48.77%)</v>
      </c>
    </row>
  </sheetData>
  <mergeCells count="11">
    <mergeCell ref="G1:G2"/>
    <mergeCell ref="H1:L1"/>
    <mergeCell ref="M1:M2"/>
    <mergeCell ref="N1:N2"/>
    <mergeCell ref="O1:O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CEDA-9B78-4792-BFFA-67D11CB9AC71}">
  <dimension ref="A1:AE84"/>
  <sheetViews>
    <sheetView zoomScale="85" zoomScaleNormal="85" workbookViewId="0">
      <selection activeCell="W84" sqref="W84"/>
    </sheetView>
  </sheetViews>
  <sheetFormatPr defaultRowHeight="16.5"/>
  <cols>
    <col min="1" max="2" width="6.375" bestFit="1" customWidth="1"/>
    <col min="3" max="3" width="13.125" bestFit="1" customWidth="1"/>
    <col min="4" max="4" width="20.375" bestFit="1" customWidth="1"/>
    <col min="5" max="5" width="11.375" bestFit="1" customWidth="1"/>
    <col min="6" max="6" width="7.125" bestFit="1" customWidth="1"/>
    <col min="7" max="7" width="6.25" bestFit="1" customWidth="1"/>
    <col min="8" max="11" width="8" bestFit="1" customWidth="1"/>
    <col min="12" max="12" width="6.375" bestFit="1" customWidth="1"/>
    <col min="13" max="19" width="2.375" bestFit="1" customWidth="1"/>
    <col min="20" max="20" width="6.25" bestFit="1" customWidth="1"/>
    <col min="21" max="21" width="5.375" bestFit="1" customWidth="1"/>
    <col min="22" max="22" width="6.25" bestFit="1" customWidth="1"/>
    <col min="23" max="26" width="19.25" bestFit="1" customWidth="1"/>
    <col min="27" max="27" width="13" bestFit="1" customWidth="1"/>
  </cols>
  <sheetData>
    <row r="1" spans="1:31" ht="17.25" thickBot="1">
      <c r="A1" s="39" t="s">
        <v>107</v>
      </c>
      <c r="B1" s="39" t="s">
        <v>108</v>
      </c>
      <c r="C1" s="39" t="s">
        <v>123</v>
      </c>
      <c r="D1" s="39" t="s">
        <v>110</v>
      </c>
      <c r="E1" s="39" t="s">
        <v>111</v>
      </c>
      <c r="F1" s="39" t="s">
        <v>112</v>
      </c>
      <c r="G1" s="39" t="s">
        <v>113</v>
      </c>
      <c r="H1" s="39" t="s">
        <v>114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 t="s">
        <v>115</v>
      </c>
      <c r="U1" s="39" t="s">
        <v>116</v>
      </c>
      <c r="V1" s="43" t="s">
        <v>117</v>
      </c>
      <c r="W1" s="44" t="str">
        <f>C3</f>
        <v>부천시가선거구</v>
      </c>
      <c r="X1" s="45"/>
      <c r="Y1" s="45"/>
      <c r="Z1" s="46"/>
      <c r="AA1" s="30" t="s">
        <v>138</v>
      </c>
    </row>
    <row r="2" spans="1:31" ht="34.5" thickBot="1">
      <c r="A2" s="39"/>
      <c r="B2" s="39"/>
      <c r="C2" s="39"/>
      <c r="D2" s="39"/>
      <c r="E2" s="39"/>
      <c r="F2" s="39" t="s">
        <v>112</v>
      </c>
      <c r="G2" s="39" t="s">
        <v>112</v>
      </c>
      <c r="H2" s="5" t="s">
        <v>118</v>
      </c>
      <c r="I2" s="5" t="s">
        <v>119</v>
      </c>
      <c r="J2" s="5" t="s">
        <v>120</v>
      </c>
      <c r="K2" s="5" t="s">
        <v>121</v>
      </c>
      <c r="L2" s="5" t="s">
        <v>122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39" t="s">
        <v>112</v>
      </c>
      <c r="U2" s="39" t="s">
        <v>112</v>
      </c>
      <c r="V2" s="43" t="s">
        <v>112</v>
      </c>
      <c r="W2" s="40" t="str">
        <f>"투표수: "&amp;TEXT((SUM(H4:L4)+U4), "#,##0")</f>
        <v>투표수: 37,863</v>
      </c>
      <c r="X2" s="42"/>
      <c r="Y2" s="18" t="str">
        <f>"유효투표수: "&amp;TEXT(SUM(H4:L4),"#,##0")</f>
        <v>유효투표수: 35,515</v>
      </c>
      <c r="Z2" s="16" t="str">
        <f>"무효투표수: "&amp;TEXT(U4, "#,##0")</f>
        <v>무효투표수: 2,348</v>
      </c>
      <c r="AA2" s="47" t="s">
        <v>154</v>
      </c>
    </row>
    <row r="3" spans="1:31" ht="41.25" thickBot="1">
      <c r="A3" s="2" t="s">
        <v>0</v>
      </c>
      <c r="B3" s="2" t="s">
        <v>1</v>
      </c>
      <c r="C3" s="2" t="s">
        <v>23</v>
      </c>
      <c r="D3" s="2" t="s">
        <v>2</v>
      </c>
      <c r="E3" s="2" t="s">
        <v>2</v>
      </c>
      <c r="F3" s="2" t="s">
        <v>2</v>
      </c>
      <c r="G3" s="2" t="s">
        <v>2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5</v>
      </c>
      <c r="N3" s="3" t="s">
        <v>5</v>
      </c>
      <c r="O3" s="3" t="s">
        <v>5</v>
      </c>
      <c r="P3" s="3" t="s">
        <v>5</v>
      </c>
      <c r="Q3" s="3" t="s">
        <v>5</v>
      </c>
      <c r="R3" s="3" t="s">
        <v>5</v>
      </c>
      <c r="S3" s="3" t="s">
        <v>5</v>
      </c>
      <c r="T3" s="2" t="s">
        <v>2</v>
      </c>
      <c r="U3" s="2" t="s">
        <v>2</v>
      </c>
      <c r="V3" s="15" t="s">
        <v>2</v>
      </c>
      <c r="W3" s="20" t="str">
        <f>"투표율: "&amp;TEXT(((G4/F4)*100), "0.00")&amp;"%"</f>
        <v>투표율: 47.81%</v>
      </c>
      <c r="X3" s="16" t="str">
        <f>"기권율: "&amp;TEXT(((V4/F4)*100), "0.00")&amp;"%"</f>
        <v>기권율: 52.19%</v>
      </c>
      <c r="Y3" s="20" t="str">
        <f>"유효투표율: "&amp;TEXT(((T4/G4)*100), "0.00")&amp;"%"</f>
        <v>유효투표율: 93.80%</v>
      </c>
      <c r="Z3" s="16" t="str">
        <f>"무효투표율: "&amp;TEXT(((U4/G4)*100), "0.00")&amp;"%"</f>
        <v>무효투표율: 6.20%</v>
      </c>
      <c r="AA3" s="48"/>
      <c r="AE3" s="29"/>
    </row>
    <row r="4" spans="1:31" ht="17.25" thickBot="1">
      <c r="A4" s="2" t="s">
        <v>0</v>
      </c>
      <c r="B4" s="2" t="s">
        <v>1</v>
      </c>
      <c r="C4" s="2" t="s">
        <v>23</v>
      </c>
      <c r="D4" s="2" t="s">
        <v>6</v>
      </c>
      <c r="E4" s="2" t="s">
        <v>2</v>
      </c>
      <c r="F4" s="7">
        <v>79200</v>
      </c>
      <c r="G4" s="7">
        <v>37863</v>
      </c>
      <c r="H4" s="7">
        <v>14269</v>
      </c>
      <c r="I4" s="7">
        <v>5177</v>
      </c>
      <c r="J4" s="7">
        <v>8772</v>
      </c>
      <c r="K4" s="7">
        <v>6163</v>
      </c>
      <c r="L4" s="7">
        <v>1134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7">
        <v>35515</v>
      </c>
      <c r="U4" s="7">
        <v>2348</v>
      </c>
      <c r="V4" s="21">
        <v>41337</v>
      </c>
      <c r="W4" s="40" t="s">
        <v>136</v>
      </c>
      <c r="X4" s="41"/>
      <c r="Y4" s="41"/>
      <c r="Z4" s="41"/>
      <c r="AA4" s="42"/>
      <c r="AE4" s="29"/>
    </row>
    <row r="5" spans="1:31">
      <c r="A5" s="2" t="s">
        <v>0</v>
      </c>
      <c r="B5" s="2" t="s">
        <v>1</v>
      </c>
      <c r="C5" s="2" t="s">
        <v>23</v>
      </c>
      <c r="D5" s="2" t="s">
        <v>7</v>
      </c>
      <c r="E5" s="2" t="s">
        <v>2</v>
      </c>
      <c r="F5" s="8">
        <v>68</v>
      </c>
      <c r="G5" s="8">
        <v>67</v>
      </c>
      <c r="H5" s="8">
        <v>22</v>
      </c>
      <c r="I5" s="8">
        <v>16</v>
      </c>
      <c r="J5" s="8">
        <v>14</v>
      </c>
      <c r="K5" s="8">
        <v>8</v>
      </c>
      <c r="L5" s="8">
        <v>2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62</v>
      </c>
      <c r="U5" s="8">
        <v>5</v>
      </c>
      <c r="V5" s="22">
        <v>1</v>
      </c>
      <c r="W5" s="23" t="s">
        <v>137</v>
      </c>
      <c r="X5" s="23" t="s">
        <v>119</v>
      </c>
      <c r="Y5" s="23" t="s">
        <v>120</v>
      </c>
      <c r="Z5" s="23" t="s">
        <v>121</v>
      </c>
      <c r="AA5" s="26" t="s">
        <v>122</v>
      </c>
      <c r="AE5" s="29"/>
    </row>
    <row r="6" spans="1:31">
      <c r="A6" s="2" t="s">
        <v>0</v>
      </c>
      <c r="B6" s="2" t="s">
        <v>1</v>
      </c>
      <c r="C6" s="2" t="s">
        <v>23</v>
      </c>
      <c r="D6" s="2" t="s">
        <v>8</v>
      </c>
      <c r="E6" s="2" t="s">
        <v>2</v>
      </c>
      <c r="F6" s="7">
        <v>4051</v>
      </c>
      <c r="G6" s="7">
        <v>4046</v>
      </c>
      <c r="H6" s="7">
        <v>1573</v>
      </c>
      <c r="I6" s="8">
        <v>586</v>
      </c>
      <c r="J6" s="7">
        <v>1007</v>
      </c>
      <c r="K6" s="8">
        <v>460</v>
      </c>
      <c r="L6" s="8">
        <v>151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7">
        <v>3777</v>
      </c>
      <c r="U6" s="8">
        <v>269</v>
      </c>
      <c r="V6" s="22">
        <v>5</v>
      </c>
      <c r="W6" s="24" t="str">
        <f>H3</f>
        <v>더불어민주당
박순희</v>
      </c>
      <c r="X6" s="24" t="str">
        <f t="shared" ref="X6:AA6" si="0">I3</f>
        <v>더불어민주당
박명혜</v>
      </c>
      <c r="Y6" s="24" t="str">
        <f t="shared" si="0"/>
        <v>국민의힘
최초은</v>
      </c>
      <c r="Z6" s="24" t="str">
        <f t="shared" si="0"/>
        <v>국민의힘
곽내경</v>
      </c>
      <c r="AA6" s="27" t="str">
        <f t="shared" si="0"/>
        <v>정의당
이혜원</v>
      </c>
      <c r="AE6" s="29"/>
    </row>
    <row r="7" spans="1:31" ht="17.25" thickBot="1">
      <c r="A7" s="2" t="s">
        <v>0</v>
      </c>
      <c r="B7" s="2" t="s">
        <v>1</v>
      </c>
      <c r="C7" s="2" t="s">
        <v>23</v>
      </c>
      <c r="D7" s="2" t="s">
        <v>13</v>
      </c>
      <c r="E7" s="2" t="s">
        <v>10</v>
      </c>
      <c r="F7" s="7">
        <v>75081</v>
      </c>
      <c r="G7" s="7">
        <v>33710</v>
      </c>
      <c r="H7" s="7">
        <v>12664</v>
      </c>
      <c r="I7" s="7">
        <v>4568</v>
      </c>
      <c r="J7" s="7">
        <v>7740</v>
      </c>
      <c r="K7" s="7">
        <v>5689</v>
      </c>
      <c r="L7" s="8">
        <v>980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7">
        <v>31641</v>
      </c>
      <c r="U7" s="7">
        <v>2069</v>
      </c>
      <c r="V7" s="21">
        <v>41371</v>
      </c>
      <c r="W7" s="25" t="str">
        <f>TEXT(H4,"#,##0")&amp;CHAR(10)&amp;"("&amp;TEXT((ROUND((H4/(SUM(H4:L4))*100),2)),"0.00")&amp;"%)"</f>
        <v>14,269
(40.18%)</v>
      </c>
      <c r="X7" s="25" t="str">
        <f>TEXT(I4,"#,##0")&amp;CHAR(10)&amp;"("&amp;TEXT((ROUND((I4/(SUM(H4:L4))*100),2)),"0.00")&amp;"%)"</f>
        <v>5,177
(14.58%)</v>
      </c>
      <c r="Y7" s="25" t="str">
        <f>TEXT(J4,"#,##0")&amp;CHAR(10)&amp;"("&amp;TEXT((ROUND((J4/(SUM(H4:L4))*100),2)),"0.00")&amp;"%)"</f>
        <v>8,772
(24.70%)</v>
      </c>
      <c r="Z7" s="25" t="str">
        <f>TEXT(K4,"#,##0")&amp;CHAR(10)&amp;"("&amp;TEXT((ROUND((K4/(SUM(H4:L4))*100),2)),"0.00")&amp;"%)"</f>
        <v>6,163
(17.35%)</v>
      </c>
      <c r="AA7" s="28" t="str">
        <f>TEXT(L4,"#,##0")&amp;CHAR(10)&amp;"("&amp;TEXT((ROUND((L4/(SUM(H4:L4))*100),2)),"0.00")&amp;"%)"</f>
        <v>1,134
(3.19%)</v>
      </c>
    </row>
    <row r="8" spans="1:31" ht="17.25" thickBot="1">
      <c r="A8" s="2" t="s">
        <v>0</v>
      </c>
      <c r="B8" s="2" t="s">
        <v>1</v>
      </c>
      <c r="C8" s="2" t="s">
        <v>23</v>
      </c>
      <c r="D8" s="2" t="s">
        <v>13</v>
      </c>
      <c r="E8" s="2" t="s">
        <v>11</v>
      </c>
      <c r="F8" s="7">
        <v>11409</v>
      </c>
      <c r="G8" s="7">
        <v>11382</v>
      </c>
      <c r="H8" s="7">
        <v>4388</v>
      </c>
      <c r="I8" s="7">
        <v>1736</v>
      </c>
      <c r="J8" s="7">
        <v>2506</v>
      </c>
      <c r="K8" s="7">
        <v>1777</v>
      </c>
      <c r="L8" s="8">
        <v>290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7">
        <v>10697</v>
      </c>
      <c r="U8" s="8">
        <v>685</v>
      </c>
      <c r="V8" s="8">
        <v>27</v>
      </c>
    </row>
    <row r="9" spans="1:31" ht="17.25" thickBot="1">
      <c r="A9" s="2" t="s">
        <v>0</v>
      </c>
      <c r="B9" s="2" t="s">
        <v>1</v>
      </c>
      <c r="C9" s="2" t="s">
        <v>23</v>
      </c>
      <c r="D9" s="2" t="s">
        <v>13</v>
      </c>
      <c r="E9" s="2" t="s">
        <v>12</v>
      </c>
      <c r="F9" s="7">
        <v>63672</v>
      </c>
      <c r="G9" s="7">
        <v>22328</v>
      </c>
      <c r="H9" s="7">
        <v>8276</v>
      </c>
      <c r="I9" s="7">
        <v>2832</v>
      </c>
      <c r="J9" s="7">
        <v>5234</v>
      </c>
      <c r="K9" s="7">
        <v>3912</v>
      </c>
      <c r="L9" s="8">
        <v>690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7">
        <v>20944</v>
      </c>
      <c r="U9" s="7">
        <v>1384</v>
      </c>
      <c r="V9" s="7">
        <v>41344</v>
      </c>
      <c r="W9" s="44" t="str">
        <f>C11</f>
        <v>부천시나선거구</v>
      </c>
      <c r="X9" s="45"/>
      <c r="Y9" s="45"/>
      <c r="Z9" s="46"/>
      <c r="AA9" s="30" t="s">
        <v>138</v>
      </c>
    </row>
    <row r="10" spans="1:31" ht="17.25" customHeight="1" thickBot="1">
      <c r="A10" s="2" t="s">
        <v>0</v>
      </c>
      <c r="B10" s="2" t="s">
        <v>1</v>
      </c>
      <c r="C10" s="2" t="s">
        <v>23</v>
      </c>
      <c r="D10" s="2" t="s">
        <v>22</v>
      </c>
      <c r="E10" s="2" t="s">
        <v>2</v>
      </c>
      <c r="F10" s="8">
        <v>0</v>
      </c>
      <c r="G10" s="8">
        <v>40</v>
      </c>
      <c r="H10" s="8">
        <v>10</v>
      </c>
      <c r="I10" s="8">
        <v>7</v>
      </c>
      <c r="J10" s="8">
        <v>11</v>
      </c>
      <c r="K10" s="8">
        <v>6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35</v>
      </c>
      <c r="U10" s="8">
        <v>5</v>
      </c>
      <c r="V10" s="8">
        <v>-40</v>
      </c>
      <c r="W10" s="49" t="str">
        <f>"투표수: "&amp;TEXT((SUM(H12:L12)+U12), "#,##0")</f>
        <v>투표수: 24,790</v>
      </c>
      <c r="X10" s="50"/>
      <c r="Y10" s="18" t="str">
        <f>"유효투표수: "&amp;TEXT(SUM(H12:L12),"#,##0")</f>
        <v>유효투표수: 23,572</v>
      </c>
      <c r="Z10" s="16" t="str">
        <f>"무효투표수: "&amp;TEXT(U12, "#,##0")</f>
        <v>무효투표수: 1,218</v>
      </c>
      <c r="AA10" s="47" t="s">
        <v>154</v>
      </c>
    </row>
    <row r="11" spans="1:31" ht="41.25" thickBot="1">
      <c r="A11" s="2" t="s">
        <v>0</v>
      </c>
      <c r="B11" s="2" t="s">
        <v>1</v>
      </c>
      <c r="C11" s="2" t="s">
        <v>29</v>
      </c>
      <c r="D11" s="2" t="s">
        <v>2</v>
      </c>
      <c r="E11" s="2" t="s">
        <v>2</v>
      </c>
      <c r="F11" s="2" t="s">
        <v>2</v>
      </c>
      <c r="G11" s="2" t="s">
        <v>2</v>
      </c>
      <c r="H11" s="3" t="s">
        <v>30</v>
      </c>
      <c r="I11" s="3" t="s">
        <v>31</v>
      </c>
      <c r="J11" s="3" t="s">
        <v>32</v>
      </c>
      <c r="K11" s="3" t="s">
        <v>5</v>
      </c>
      <c r="L11" s="3" t="s">
        <v>5</v>
      </c>
      <c r="M11" s="3" t="s">
        <v>5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2" t="s">
        <v>2</v>
      </c>
      <c r="U11" s="2" t="s">
        <v>2</v>
      </c>
      <c r="V11" s="2" t="s">
        <v>2</v>
      </c>
      <c r="W11" s="17" t="str">
        <f>"투표율: "&amp;TEXT(((G12/F12)*100), "0.00")&amp;"%"</f>
        <v>투표율: 42.18%</v>
      </c>
      <c r="X11" s="12" t="str">
        <f>"기권율: "&amp;TEXT(((V12/F12)*100), "0.00")&amp;"%"</f>
        <v>기권율: 57.82%</v>
      </c>
      <c r="Y11" s="17" t="str">
        <f>"유효투표율: "&amp;TEXT(((T12/G12)*100), "0.00")&amp;"%"</f>
        <v>유효투표율: 95.09%</v>
      </c>
      <c r="Z11" s="12" t="str">
        <f>"무효투표율: "&amp;TEXT(((U12/G12)*100), "0.00")&amp;"%"</f>
        <v>무효투표율: 4.91%</v>
      </c>
      <c r="AA11" s="48"/>
    </row>
    <row r="12" spans="1:31" ht="17.25" thickBot="1">
      <c r="A12" s="2" t="s">
        <v>0</v>
      </c>
      <c r="B12" s="2" t="s">
        <v>1</v>
      </c>
      <c r="C12" s="2" t="s">
        <v>29</v>
      </c>
      <c r="D12" s="2" t="s">
        <v>6</v>
      </c>
      <c r="E12" s="2" t="s">
        <v>2</v>
      </c>
      <c r="F12" s="7">
        <v>58772</v>
      </c>
      <c r="G12" s="7">
        <v>24790</v>
      </c>
      <c r="H12" s="7">
        <v>12512</v>
      </c>
      <c r="I12" s="7">
        <v>9521</v>
      </c>
      <c r="J12" s="7">
        <v>1539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7">
        <v>23572</v>
      </c>
      <c r="U12" s="7">
        <v>1218</v>
      </c>
      <c r="V12" s="7">
        <v>33982</v>
      </c>
      <c r="W12" s="40" t="s">
        <v>136</v>
      </c>
      <c r="X12" s="41"/>
      <c r="Y12" s="41"/>
      <c r="Z12" s="41"/>
      <c r="AA12" s="42"/>
    </row>
    <row r="13" spans="1:31">
      <c r="A13" s="2" t="s">
        <v>0</v>
      </c>
      <c r="B13" s="2" t="s">
        <v>1</v>
      </c>
      <c r="C13" s="2" t="s">
        <v>29</v>
      </c>
      <c r="D13" s="2" t="s">
        <v>7</v>
      </c>
      <c r="E13" s="2" t="s">
        <v>2</v>
      </c>
      <c r="F13" s="8">
        <v>74</v>
      </c>
      <c r="G13" s="8">
        <v>71</v>
      </c>
      <c r="H13" s="8">
        <v>36</v>
      </c>
      <c r="I13" s="8">
        <v>21</v>
      </c>
      <c r="J13" s="8">
        <v>9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66</v>
      </c>
      <c r="U13" s="8">
        <v>5</v>
      </c>
      <c r="V13" s="8">
        <v>3</v>
      </c>
      <c r="W13" s="23" t="s">
        <v>137</v>
      </c>
      <c r="X13" s="23" t="s">
        <v>119</v>
      </c>
      <c r="Y13" s="23" t="s">
        <v>120</v>
      </c>
      <c r="Z13" s="23" t="s">
        <v>121</v>
      </c>
      <c r="AA13" s="26" t="s">
        <v>122</v>
      </c>
    </row>
    <row r="14" spans="1:31">
      <c r="A14" s="2" t="s">
        <v>0</v>
      </c>
      <c r="B14" s="2" t="s">
        <v>1</v>
      </c>
      <c r="C14" s="2" t="s">
        <v>29</v>
      </c>
      <c r="D14" s="2" t="s">
        <v>8</v>
      </c>
      <c r="E14" s="2" t="s">
        <v>2</v>
      </c>
      <c r="F14" s="7">
        <v>3154</v>
      </c>
      <c r="G14" s="7">
        <v>3150</v>
      </c>
      <c r="H14" s="7">
        <v>1778</v>
      </c>
      <c r="I14" s="7">
        <v>1175</v>
      </c>
      <c r="J14" s="8">
        <v>116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7">
        <v>3069</v>
      </c>
      <c r="U14" s="8">
        <v>81</v>
      </c>
      <c r="V14" s="8">
        <v>4</v>
      </c>
      <c r="W14" s="24" t="str">
        <f>H11</f>
        <v>더불어민주당
김병전</v>
      </c>
      <c r="X14" s="24" t="str">
        <f t="shared" ref="X14:AA14" si="1">I11</f>
        <v>국민의힘
안효식</v>
      </c>
      <c r="Y14" s="24" t="str">
        <f t="shared" si="1"/>
        <v>국민의힘
박두례</v>
      </c>
      <c r="Z14" s="24" t="str">
        <f t="shared" si="1"/>
        <v xml:space="preserve">
</v>
      </c>
      <c r="AA14" s="27" t="str">
        <f t="shared" si="1"/>
        <v xml:space="preserve">
</v>
      </c>
    </row>
    <row r="15" spans="1:31" ht="17.25" thickBot="1">
      <c r="A15" s="2" t="s">
        <v>0</v>
      </c>
      <c r="B15" s="2" t="s">
        <v>1</v>
      </c>
      <c r="C15" s="2" t="s">
        <v>29</v>
      </c>
      <c r="D15" s="2" t="s">
        <v>9</v>
      </c>
      <c r="E15" s="2" t="s">
        <v>10</v>
      </c>
      <c r="F15" s="7">
        <v>55544</v>
      </c>
      <c r="G15" s="7">
        <v>21498</v>
      </c>
      <c r="H15" s="7">
        <v>10668</v>
      </c>
      <c r="I15" s="7">
        <v>8306</v>
      </c>
      <c r="J15" s="7">
        <v>1413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7">
        <v>20387</v>
      </c>
      <c r="U15" s="7">
        <v>1111</v>
      </c>
      <c r="V15" s="7">
        <v>34046</v>
      </c>
      <c r="W15" s="25" t="str">
        <f>TEXT(H12,"#,##0")&amp;CHAR(10)&amp;"("&amp;TEXT((ROUND((H12/(SUM(H12:L12))*100),2)),"0.00")&amp;"%)"</f>
        <v>12,512
(53.08%)</v>
      </c>
      <c r="X15" s="25" t="str">
        <f>TEXT(I12,"#,##0")&amp;CHAR(10)&amp;"("&amp;TEXT((ROUND((I12/(SUM(H12:L12))*100),2)),"0.00")&amp;"%)"</f>
        <v>9,521
(40.39%)</v>
      </c>
      <c r="Y15" s="25" t="str">
        <f>TEXT(J12,"#,##0")&amp;CHAR(10)&amp;"("&amp;TEXT((ROUND((J12/(SUM(H12:L12))*100),2)),"0.00")&amp;"%)"</f>
        <v>1,539
(6.53%)</v>
      </c>
      <c r="Z15" s="25" t="str">
        <f>TEXT(K12,"#,##0")&amp;CHAR(10)&amp;"("&amp;TEXT((ROUND((K12/(SUM(H12:L12))*100),2)),"0.00")&amp;"%)"</f>
        <v>0
(0.00%)</v>
      </c>
      <c r="AA15" s="28" t="str">
        <f>TEXT(L12,"#,##0")&amp;CHAR(10)&amp;"("&amp;TEXT((ROUND((L12/(SUM(H12:L12))*100),2)),"0.00")&amp;"%)"</f>
        <v>0
(0.00%)</v>
      </c>
    </row>
    <row r="16" spans="1:31" ht="17.25" thickBot="1">
      <c r="A16" s="2" t="s">
        <v>0</v>
      </c>
      <c r="B16" s="2" t="s">
        <v>1</v>
      </c>
      <c r="C16" s="2" t="s">
        <v>29</v>
      </c>
      <c r="D16" s="2" t="s">
        <v>9</v>
      </c>
      <c r="E16" s="2" t="s">
        <v>11</v>
      </c>
      <c r="F16" s="7">
        <v>7646</v>
      </c>
      <c r="G16" s="7">
        <v>7628</v>
      </c>
      <c r="H16" s="7">
        <v>3936</v>
      </c>
      <c r="I16" s="7">
        <v>2974</v>
      </c>
      <c r="J16" s="8">
        <v>496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7">
        <v>7406</v>
      </c>
      <c r="U16" s="8">
        <v>222</v>
      </c>
      <c r="V16" s="8">
        <v>18</v>
      </c>
    </row>
    <row r="17" spans="1:27" ht="17.25" thickBot="1">
      <c r="A17" s="2" t="s">
        <v>0</v>
      </c>
      <c r="B17" s="2" t="s">
        <v>1</v>
      </c>
      <c r="C17" s="2" t="s">
        <v>29</v>
      </c>
      <c r="D17" s="2" t="s">
        <v>9</v>
      </c>
      <c r="E17" s="2" t="s">
        <v>12</v>
      </c>
      <c r="F17" s="7">
        <v>47898</v>
      </c>
      <c r="G17" s="7">
        <v>13870</v>
      </c>
      <c r="H17" s="7">
        <v>6732</v>
      </c>
      <c r="I17" s="7">
        <v>5332</v>
      </c>
      <c r="J17" s="8">
        <v>917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7">
        <v>12981</v>
      </c>
      <c r="U17" s="8">
        <v>889</v>
      </c>
      <c r="V17" s="7">
        <v>34028</v>
      </c>
      <c r="W17" s="44" t="str">
        <f>C19</f>
        <v>부천시다선거구</v>
      </c>
      <c r="X17" s="45"/>
      <c r="Y17" s="45"/>
      <c r="Z17" s="46"/>
      <c r="AA17" s="30" t="s">
        <v>138</v>
      </c>
    </row>
    <row r="18" spans="1:27" ht="17.25" thickBot="1">
      <c r="A18" s="2" t="s">
        <v>0</v>
      </c>
      <c r="B18" s="2" t="s">
        <v>1</v>
      </c>
      <c r="C18" s="2" t="s">
        <v>29</v>
      </c>
      <c r="D18" s="2" t="s">
        <v>22</v>
      </c>
      <c r="E18" s="2" t="s">
        <v>2</v>
      </c>
      <c r="F18" s="8">
        <v>0</v>
      </c>
      <c r="G18" s="8">
        <v>71</v>
      </c>
      <c r="H18" s="8">
        <v>30</v>
      </c>
      <c r="I18" s="8">
        <v>19</v>
      </c>
      <c r="J18" s="8">
        <v>1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50</v>
      </c>
      <c r="U18" s="8">
        <v>21</v>
      </c>
      <c r="V18" s="8">
        <v>-71</v>
      </c>
      <c r="W18" s="40" t="str">
        <f>"투표수: "&amp;TEXT((SUM(H20:L20)+U20), "#,##0")</f>
        <v>투표수: 18,383</v>
      </c>
      <c r="X18" s="42"/>
      <c r="Y18" s="18" t="str">
        <f>"유효투표수: "&amp;TEXT(SUM(H20:L20),"#,##0")</f>
        <v>유효투표수: 17,366</v>
      </c>
      <c r="Z18" s="16" t="str">
        <f>"무효투표수: "&amp;TEXT(U20, "#,##0")</f>
        <v>무효투표수: 1,017</v>
      </c>
      <c r="AA18" s="47" t="s">
        <v>139</v>
      </c>
    </row>
    <row r="19" spans="1:27" ht="41.25" thickBot="1">
      <c r="A19" s="2" t="s">
        <v>0</v>
      </c>
      <c r="B19" s="2" t="s">
        <v>1</v>
      </c>
      <c r="C19" s="2" t="s">
        <v>33</v>
      </c>
      <c r="D19" s="2" t="s">
        <v>2</v>
      </c>
      <c r="E19" s="2" t="s">
        <v>2</v>
      </c>
      <c r="F19" s="2" t="s">
        <v>2</v>
      </c>
      <c r="G19" s="2" t="s">
        <v>2</v>
      </c>
      <c r="H19" s="3" t="s">
        <v>34</v>
      </c>
      <c r="I19" s="3" t="s">
        <v>35</v>
      </c>
      <c r="J19" s="3" t="s">
        <v>36</v>
      </c>
      <c r="K19" s="3" t="s">
        <v>5</v>
      </c>
      <c r="L19" s="3" t="s">
        <v>5</v>
      </c>
      <c r="M19" s="3" t="s">
        <v>5</v>
      </c>
      <c r="N19" s="3" t="s">
        <v>5</v>
      </c>
      <c r="O19" s="3" t="s">
        <v>5</v>
      </c>
      <c r="P19" s="3" t="s">
        <v>5</v>
      </c>
      <c r="Q19" s="3" t="s">
        <v>5</v>
      </c>
      <c r="R19" s="3" t="s">
        <v>5</v>
      </c>
      <c r="S19" s="3" t="s">
        <v>5</v>
      </c>
      <c r="T19" s="2" t="s">
        <v>2</v>
      </c>
      <c r="U19" s="2" t="s">
        <v>2</v>
      </c>
      <c r="V19" s="2" t="s">
        <v>2</v>
      </c>
      <c r="W19" s="17" t="str">
        <f>"투표율: "&amp;TEXT(((G20/F20)*100), "0.00")&amp;"%"</f>
        <v>투표율: 51.58%</v>
      </c>
      <c r="X19" s="12" t="str">
        <f>"기권율: "&amp;TEXT(((V20/F20)*100), "0.00")&amp;"%"</f>
        <v>기권율: 48.42%</v>
      </c>
      <c r="Y19" s="17" t="str">
        <f>"유효투표율: "&amp;TEXT(((T20/G20)*100), "0.00")&amp;"%"</f>
        <v>유효투표율: 94.47%</v>
      </c>
      <c r="Z19" s="12" t="str">
        <f>"무효투표율: "&amp;TEXT(((U20/G20)*100), "0.00")&amp;"%"</f>
        <v>무효투표율: 5.53%</v>
      </c>
      <c r="AA19" s="48"/>
    </row>
    <row r="20" spans="1:27" ht="17.25" thickBot="1">
      <c r="A20" s="2" t="s">
        <v>0</v>
      </c>
      <c r="B20" s="2" t="s">
        <v>1</v>
      </c>
      <c r="C20" s="2" t="s">
        <v>33</v>
      </c>
      <c r="D20" s="2" t="s">
        <v>6</v>
      </c>
      <c r="E20" s="2" t="s">
        <v>2</v>
      </c>
      <c r="F20" s="7">
        <v>35642</v>
      </c>
      <c r="G20" s="7">
        <v>18383</v>
      </c>
      <c r="H20" s="7">
        <v>8678</v>
      </c>
      <c r="I20" s="7">
        <v>5330</v>
      </c>
      <c r="J20" s="7">
        <v>3358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7">
        <v>17366</v>
      </c>
      <c r="U20" s="7">
        <v>1017</v>
      </c>
      <c r="V20" s="7">
        <v>17259</v>
      </c>
      <c r="W20" s="40" t="s">
        <v>136</v>
      </c>
      <c r="X20" s="41"/>
      <c r="Y20" s="41"/>
      <c r="Z20" s="41"/>
      <c r="AA20" s="42"/>
    </row>
    <row r="21" spans="1:27">
      <c r="A21" s="2" t="s">
        <v>0</v>
      </c>
      <c r="B21" s="2" t="s">
        <v>1</v>
      </c>
      <c r="C21" s="2" t="s">
        <v>33</v>
      </c>
      <c r="D21" s="2" t="s">
        <v>7</v>
      </c>
      <c r="E21" s="2" t="s">
        <v>2</v>
      </c>
      <c r="F21" s="8">
        <v>52</v>
      </c>
      <c r="G21" s="8">
        <v>49</v>
      </c>
      <c r="H21" s="8">
        <v>15</v>
      </c>
      <c r="I21" s="8">
        <v>23</v>
      </c>
      <c r="J21" s="8">
        <v>4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42</v>
      </c>
      <c r="U21" s="8">
        <v>7</v>
      </c>
      <c r="V21" s="8">
        <v>3</v>
      </c>
      <c r="W21" s="23" t="s">
        <v>137</v>
      </c>
      <c r="X21" s="23" t="s">
        <v>119</v>
      </c>
      <c r="Y21" s="23" t="s">
        <v>120</v>
      </c>
      <c r="Z21" s="23" t="s">
        <v>121</v>
      </c>
      <c r="AA21" s="26" t="s">
        <v>122</v>
      </c>
    </row>
    <row r="22" spans="1:27">
      <c r="A22" s="2" t="s">
        <v>0</v>
      </c>
      <c r="B22" s="2" t="s">
        <v>1</v>
      </c>
      <c r="C22" s="2" t="s">
        <v>33</v>
      </c>
      <c r="D22" s="2" t="s">
        <v>8</v>
      </c>
      <c r="E22" s="2" t="s">
        <v>2</v>
      </c>
      <c r="F22" s="7">
        <v>2335</v>
      </c>
      <c r="G22" s="7">
        <v>2305</v>
      </c>
      <c r="H22" s="7">
        <v>1227</v>
      </c>
      <c r="I22" s="8">
        <v>763</v>
      </c>
      <c r="J22" s="8">
        <v>249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7">
        <v>2239</v>
      </c>
      <c r="U22" s="8">
        <v>66</v>
      </c>
      <c r="V22" s="8">
        <v>30</v>
      </c>
      <c r="W22" s="24" t="str">
        <f>H19</f>
        <v>더불어민주당
임은분</v>
      </c>
      <c r="X22" s="24" t="str">
        <f t="shared" ref="X22:AA22" si="2">I19</f>
        <v>국민의힘
김미자</v>
      </c>
      <c r="Y22" s="24" t="str">
        <f t="shared" si="2"/>
        <v>국민의힘
방춘하</v>
      </c>
      <c r="Z22" s="24" t="str">
        <f t="shared" si="2"/>
        <v xml:space="preserve">
</v>
      </c>
      <c r="AA22" s="27" t="str">
        <f t="shared" si="2"/>
        <v xml:space="preserve">
</v>
      </c>
    </row>
    <row r="23" spans="1:27" ht="17.25" thickBot="1">
      <c r="A23" s="2" t="s">
        <v>0</v>
      </c>
      <c r="B23" s="2" t="s">
        <v>1</v>
      </c>
      <c r="C23" s="2" t="s">
        <v>33</v>
      </c>
      <c r="D23" s="2" t="s">
        <v>14</v>
      </c>
      <c r="E23" s="2" t="s">
        <v>10</v>
      </c>
      <c r="F23" s="7">
        <v>33255</v>
      </c>
      <c r="G23" s="7">
        <v>15957</v>
      </c>
      <c r="H23" s="7">
        <v>7401</v>
      </c>
      <c r="I23" s="7">
        <v>4523</v>
      </c>
      <c r="J23" s="7">
        <v>3098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7">
        <v>15022</v>
      </c>
      <c r="U23" s="8">
        <v>935</v>
      </c>
      <c r="V23" s="7">
        <v>17298</v>
      </c>
      <c r="W23" s="25" t="str">
        <f>TEXT(H20,"#,##0")&amp;CHAR(10)&amp;"("&amp;TEXT((ROUND((H20/(SUM(H20:L20))*100),2)),"0.00")&amp;"%)"</f>
        <v>8,678
(49.97%)</v>
      </c>
      <c r="X23" s="25" t="str">
        <f>TEXT(I20,"#,##0")&amp;CHAR(10)&amp;"("&amp;TEXT((ROUND((I20/(SUM(H20:L20))*100),2)),"0.00")&amp;"%)"</f>
        <v>5,330
(30.69%)</v>
      </c>
      <c r="Y23" s="25" t="str">
        <f>TEXT(J20,"#,##0")&amp;CHAR(10)&amp;"("&amp;TEXT((ROUND((J20/(SUM(H20:L20))*100),2)),"0.00")&amp;"%)"</f>
        <v>3,358
(19.34%)</v>
      </c>
      <c r="Z23" s="25" t="str">
        <f>TEXT(K20,"#,##0")&amp;CHAR(10)&amp;"("&amp;TEXT((ROUND((K20/(SUM(H20:L20))*100),2)),"0.00")&amp;"%)"</f>
        <v>0
(0.00%)</v>
      </c>
      <c r="AA23" s="28" t="str">
        <f>TEXT(L20,"#,##0")&amp;CHAR(10)&amp;"("&amp;TEXT((ROUND((L20/(SUM(H20:L20))*100),2)),"0.00")&amp;"%)"</f>
        <v>0
(0.00%)</v>
      </c>
    </row>
    <row r="24" spans="1:27" ht="17.25" thickBot="1">
      <c r="A24" s="2" t="s">
        <v>0</v>
      </c>
      <c r="B24" s="2" t="s">
        <v>1</v>
      </c>
      <c r="C24" s="2" t="s">
        <v>33</v>
      </c>
      <c r="D24" s="2" t="s">
        <v>14</v>
      </c>
      <c r="E24" s="2" t="s">
        <v>11</v>
      </c>
      <c r="F24" s="7">
        <v>5125</v>
      </c>
      <c r="G24" s="7">
        <v>5102</v>
      </c>
      <c r="H24" s="7">
        <v>2483</v>
      </c>
      <c r="I24" s="7">
        <v>1435</v>
      </c>
      <c r="J24" s="7">
        <v>1035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7">
        <v>4953</v>
      </c>
      <c r="U24" s="8">
        <v>149</v>
      </c>
      <c r="V24" s="8">
        <v>23</v>
      </c>
    </row>
    <row r="25" spans="1:27" ht="17.25" thickBot="1">
      <c r="A25" s="2" t="s">
        <v>0</v>
      </c>
      <c r="B25" s="2" t="s">
        <v>1</v>
      </c>
      <c r="C25" s="2" t="s">
        <v>33</v>
      </c>
      <c r="D25" s="2" t="s">
        <v>14</v>
      </c>
      <c r="E25" s="2" t="s">
        <v>12</v>
      </c>
      <c r="F25" s="7">
        <v>28130</v>
      </c>
      <c r="G25" s="7">
        <v>10855</v>
      </c>
      <c r="H25" s="7">
        <v>4918</v>
      </c>
      <c r="I25" s="7">
        <v>3088</v>
      </c>
      <c r="J25" s="7">
        <v>2063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7">
        <v>10069</v>
      </c>
      <c r="U25" s="8">
        <v>786</v>
      </c>
      <c r="V25" s="7">
        <v>17275</v>
      </c>
      <c r="W25" s="44" t="str">
        <f>C27</f>
        <v>부천시라선거구</v>
      </c>
      <c r="X25" s="45"/>
      <c r="Y25" s="45"/>
      <c r="Z25" s="46"/>
      <c r="AA25" s="30" t="s">
        <v>138</v>
      </c>
    </row>
    <row r="26" spans="1:27" ht="17.25" thickBot="1">
      <c r="A26" s="2" t="s">
        <v>0</v>
      </c>
      <c r="B26" s="2" t="s">
        <v>1</v>
      </c>
      <c r="C26" s="2" t="s">
        <v>33</v>
      </c>
      <c r="D26" s="2" t="s">
        <v>22</v>
      </c>
      <c r="E26" s="2" t="s">
        <v>2</v>
      </c>
      <c r="F26" s="8">
        <v>0</v>
      </c>
      <c r="G26" s="8">
        <v>72</v>
      </c>
      <c r="H26" s="8">
        <v>35</v>
      </c>
      <c r="I26" s="8">
        <v>21</v>
      </c>
      <c r="J26" s="8">
        <v>7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63</v>
      </c>
      <c r="U26" s="8">
        <v>9</v>
      </c>
      <c r="V26" s="8">
        <v>-72</v>
      </c>
      <c r="W26" s="40" t="str">
        <f>"투표수: "&amp;TEXT((SUM(H28:L28)+U28), "#,##0")</f>
        <v>투표수: 39,211</v>
      </c>
      <c r="X26" s="42"/>
      <c r="Y26" s="18" t="str">
        <f>"유효투표수: "&amp;TEXT(SUM(H28:L28),"#,##0")</f>
        <v>유효투표수: 35,738</v>
      </c>
      <c r="Z26" s="16" t="str">
        <f>"무효투표수: "&amp;TEXT(U28, "#,##0")</f>
        <v>무효투표수: 3,473</v>
      </c>
      <c r="AA26" s="47" t="s">
        <v>139</v>
      </c>
    </row>
    <row r="27" spans="1:27" ht="41.25" thickBot="1">
      <c r="A27" s="2" t="s">
        <v>0</v>
      </c>
      <c r="B27" s="2" t="s">
        <v>1</v>
      </c>
      <c r="C27" s="2" t="s">
        <v>37</v>
      </c>
      <c r="D27" s="2" t="s">
        <v>2</v>
      </c>
      <c r="E27" s="2" t="s">
        <v>2</v>
      </c>
      <c r="F27" s="2" t="s">
        <v>2</v>
      </c>
      <c r="G27" s="2" t="s">
        <v>2</v>
      </c>
      <c r="H27" s="3" t="s">
        <v>38</v>
      </c>
      <c r="I27" s="3" t="s">
        <v>39</v>
      </c>
      <c r="J27" s="3" t="s">
        <v>40</v>
      </c>
      <c r="K27" s="3" t="s">
        <v>41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 t="s">
        <v>5</v>
      </c>
      <c r="T27" s="2" t="s">
        <v>2</v>
      </c>
      <c r="U27" s="2" t="s">
        <v>2</v>
      </c>
      <c r="V27" s="2" t="s">
        <v>2</v>
      </c>
      <c r="W27" s="17" t="str">
        <f>"투표율: "&amp;TEXT(((G28/F28)*100), "0.00")&amp;"%"</f>
        <v>투표율: 56.14%</v>
      </c>
      <c r="X27" s="12" t="str">
        <f>"기권율: "&amp;TEXT(((V28/F28)*100), "0.00")&amp;"%"</f>
        <v>기권율: 43.86%</v>
      </c>
      <c r="Y27" s="17" t="str">
        <f>"유효투표율: "&amp;TEXT(((T28/G28)*100), "0.00")&amp;"%"</f>
        <v>유효투표율: 91.14%</v>
      </c>
      <c r="Z27" s="12" t="str">
        <f>"무효투표율: "&amp;TEXT(((U28/G28)*100), "0.00")&amp;"%"</f>
        <v>무효투표율: 8.86%</v>
      </c>
      <c r="AA27" s="48"/>
    </row>
    <row r="28" spans="1:27" ht="17.25" thickBot="1">
      <c r="A28" s="2" t="s">
        <v>0</v>
      </c>
      <c r="B28" s="2" t="s">
        <v>1</v>
      </c>
      <c r="C28" s="2" t="s">
        <v>37</v>
      </c>
      <c r="D28" s="2" t="s">
        <v>6</v>
      </c>
      <c r="E28" s="2" t="s">
        <v>2</v>
      </c>
      <c r="F28" s="7">
        <v>69841</v>
      </c>
      <c r="G28" s="7">
        <v>39211</v>
      </c>
      <c r="H28" s="7">
        <v>15931</v>
      </c>
      <c r="I28" s="7">
        <v>5611</v>
      </c>
      <c r="J28" s="7">
        <v>10039</v>
      </c>
      <c r="K28" s="7">
        <v>4157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7">
        <v>35738</v>
      </c>
      <c r="U28" s="7">
        <v>3473</v>
      </c>
      <c r="V28" s="7">
        <v>30630</v>
      </c>
      <c r="W28" s="40" t="s">
        <v>136</v>
      </c>
      <c r="X28" s="41"/>
      <c r="Y28" s="41"/>
      <c r="Z28" s="41"/>
      <c r="AA28" s="42"/>
    </row>
    <row r="29" spans="1:27">
      <c r="A29" s="2" t="s">
        <v>0</v>
      </c>
      <c r="B29" s="2" t="s">
        <v>1</v>
      </c>
      <c r="C29" s="2" t="s">
        <v>37</v>
      </c>
      <c r="D29" s="2" t="s">
        <v>7</v>
      </c>
      <c r="E29" s="2" t="s">
        <v>2</v>
      </c>
      <c r="F29" s="8">
        <v>81</v>
      </c>
      <c r="G29" s="8">
        <v>78</v>
      </c>
      <c r="H29" s="8">
        <v>22</v>
      </c>
      <c r="I29" s="8">
        <v>7</v>
      </c>
      <c r="J29" s="8">
        <v>22</v>
      </c>
      <c r="K29" s="8">
        <v>11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62</v>
      </c>
      <c r="U29" s="8">
        <v>16</v>
      </c>
      <c r="V29" s="8">
        <v>3</v>
      </c>
      <c r="W29" s="23" t="s">
        <v>137</v>
      </c>
      <c r="X29" s="23" t="s">
        <v>119</v>
      </c>
      <c r="Y29" s="23" t="s">
        <v>120</v>
      </c>
      <c r="Z29" s="23" t="s">
        <v>121</v>
      </c>
      <c r="AA29" s="26" t="s">
        <v>122</v>
      </c>
    </row>
    <row r="30" spans="1:27">
      <c r="A30" s="2" t="s">
        <v>0</v>
      </c>
      <c r="B30" s="2" t="s">
        <v>1</v>
      </c>
      <c r="C30" s="2" t="s">
        <v>37</v>
      </c>
      <c r="D30" s="2" t="s">
        <v>8</v>
      </c>
      <c r="E30" s="2" t="s">
        <v>2</v>
      </c>
      <c r="F30" s="7">
        <v>4037</v>
      </c>
      <c r="G30" s="7">
        <v>4027</v>
      </c>
      <c r="H30" s="7">
        <v>1701</v>
      </c>
      <c r="I30" s="8">
        <v>523</v>
      </c>
      <c r="J30" s="7">
        <v>1145</v>
      </c>
      <c r="K30" s="8">
        <v>348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7">
        <v>3717</v>
      </c>
      <c r="U30" s="8">
        <v>310</v>
      </c>
      <c r="V30" s="8">
        <v>10</v>
      </c>
      <c r="W30" s="24" t="str">
        <f>H27</f>
        <v>더불어민주당
박찬희</v>
      </c>
      <c r="X30" s="24" t="str">
        <f t="shared" ref="X30:AA30" si="3">I27</f>
        <v>더불어민주당
박창길</v>
      </c>
      <c r="Y30" s="24" t="str">
        <f t="shared" si="3"/>
        <v>국민의힘
김건</v>
      </c>
      <c r="Z30" s="24" t="str">
        <f t="shared" si="3"/>
        <v>국민의힘
이병국</v>
      </c>
      <c r="AA30" s="27" t="str">
        <f t="shared" si="3"/>
        <v xml:space="preserve">
</v>
      </c>
    </row>
    <row r="31" spans="1:27" ht="17.25" thickBot="1">
      <c r="A31" s="2" t="s">
        <v>0</v>
      </c>
      <c r="B31" s="2" t="s">
        <v>1</v>
      </c>
      <c r="C31" s="2" t="s">
        <v>37</v>
      </c>
      <c r="D31" s="2" t="s">
        <v>16</v>
      </c>
      <c r="E31" s="2" t="s">
        <v>10</v>
      </c>
      <c r="F31" s="7">
        <v>65723</v>
      </c>
      <c r="G31" s="7">
        <v>35032</v>
      </c>
      <c r="H31" s="7">
        <v>14181</v>
      </c>
      <c r="I31" s="7">
        <v>5071</v>
      </c>
      <c r="J31" s="7">
        <v>8852</v>
      </c>
      <c r="K31" s="7">
        <v>3791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7">
        <v>31895</v>
      </c>
      <c r="U31" s="7">
        <v>3137</v>
      </c>
      <c r="V31" s="7">
        <v>30691</v>
      </c>
      <c r="W31" s="25" t="str">
        <f>TEXT(H28,"#,##0")&amp;CHAR(10)&amp;"("&amp;TEXT((ROUND((H28/(SUM(H28:L28))*100),2)),"0.00")&amp;"%)"</f>
        <v>15,931
(44.58%)</v>
      </c>
      <c r="X31" s="25" t="str">
        <f>TEXT(I28,"#,##0")&amp;CHAR(10)&amp;"("&amp;TEXT((ROUND((I28/(SUM(H28:L28))*100),2)),"0.00")&amp;"%)"</f>
        <v>5,611
(15.70%)</v>
      </c>
      <c r="Y31" s="25" t="str">
        <f>TEXT(J28,"#,##0")&amp;CHAR(10)&amp;"("&amp;TEXT((ROUND((J28/(SUM(H28:L28))*100),2)),"0.00")&amp;"%)"</f>
        <v>10,039
(28.09%)</v>
      </c>
      <c r="Z31" s="25" t="str">
        <f>TEXT(K28,"#,##0")&amp;CHAR(10)&amp;"("&amp;TEXT((ROUND((K28/(SUM(H28:L28))*100),2)),"0.00")&amp;"%)"</f>
        <v>4,157
(11.63%)</v>
      </c>
      <c r="AA31" s="28" t="str">
        <f>TEXT(L28,"#,##0")&amp;CHAR(10)&amp;"("&amp;TEXT((ROUND((L28/(SUM(H28:L28))*100),2)),"0.00")&amp;"%)"</f>
        <v>0
(0.00%)</v>
      </c>
    </row>
    <row r="32" spans="1:27" ht="17.25" thickBot="1">
      <c r="A32" s="2" t="s">
        <v>0</v>
      </c>
      <c r="B32" s="2" t="s">
        <v>1</v>
      </c>
      <c r="C32" s="2" t="s">
        <v>37</v>
      </c>
      <c r="D32" s="2" t="s">
        <v>16</v>
      </c>
      <c r="E32" s="2" t="s">
        <v>11</v>
      </c>
      <c r="F32" s="7">
        <v>12380</v>
      </c>
      <c r="G32" s="7">
        <v>12342</v>
      </c>
      <c r="H32" s="7">
        <v>5072</v>
      </c>
      <c r="I32" s="7">
        <v>1905</v>
      </c>
      <c r="J32" s="7">
        <v>2986</v>
      </c>
      <c r="K32" s="7">
        <v>1316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7">
        <v>11279</v>
      </c>
      <c r="U32" s="7">
        <v>1063</v>
      </c>
      <c r="V32" s="8">
        <v>38</v>
      </c>
    </row>
    <row r="33" spans="1:27" ht="17.25" thickBot="1">
      <c r="A33" s="2" t="s">
        <v>0</v>
      </c>
      <c r="B33" s="2" t="s">
        <v>1</v>
      </c>
      <c r="C33" s="2" t="s">
        <v>37</v>
      </c>
      <c r="D33" s="2" t="s">
        <v>16</v>
      </c>
      <c r="E33" s="2" t="s">
        <v>12</v>
      </c>
      <c r="F33" s="7">
        <v>53343</v>
      </c>
      <c r="G33" s="7">
        <v>22690</v>
      </c>
      <c r="H33" s="7">
        <v>9109</v>
      </c>
      <c r="I33" s="7">
        <v>3166</v>
      </c>
      <c r="J33" s="7">
        <v>5866</v>
      </c>
      <c r="K33" s="7">
        <v>2475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7">
        <v>20616</v>
      </c>
      <c r="U33" s="7">
        <v>2074</v>
      </c>
      <c r="V33" s="7">
        <v>30653</v>
      </c>
      <c r="W33" s="44" t="str">
        <f>C35</f>
        <v>부천시마선거구</v>
      </c>
      <c r="X33" s="45"/>
      <c r="Y33" s="45"/>
      <c r="Z33" s="46"/>
      <c r="AA33" s="30" t="s">
        <v>138</v>
      </c>
    </row>
    <row r="34" spans="1:27" ht="17.25" thickBot="1">
      <c r="A34" s="2" t="s">
        <v>0</v>
      </c>
      <c r="B34" s="2" t="s">
        <v>1</v>
      </c>
      <c r="C34" s="2" t="s">
        <v>37</v>
      </c>
      <c r="D34" s="2" t="s">
        <v>22</v>
      </c>
      <c r="E34" s="2" t="s">
        <v>2</v>
      </c>
      <c r="F34" s="8">
        <v>0</v>
      </c>
      <c r="G34" s="8">
        <v>74</v>
      </c>
      <c r="H34" s="8">
        <v>27</v>
      </c>
      <c r="I34" s="8">
        <v>10</v>
      </c>
      <c r="J34" s="8">
        <v>20</v>
      </c>
      <c r="K34" s="8">
        <v>7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64</v>
      </c>
      <c r="U34" s="8">
        <v>10</v>
      </c>
      <c r="V34" s="8">
        <v>-74</v>
      </c>
      <c r="W34" s="40" t="str">
        <f>"투표수: "&amp;TEXT((SUM(H36:L36)+U36), "#,##0")</f>
        <v>투표수: 58,833</v>
      </c>
      <c r="X34" s="42"/>
      <c r="Y34" s="18" t="str">
        <f>"유효투표수: "&amp;TEXT(SUM(H36:L36),"#,##0")</f>
        <v>유효투표수: 55,506</v>
      </c>
      <c r="Z34" s="16" t="str">
        <f>"무효투표수: "&amp;TEXT(U36, "#,##0")</f>
        <v>무효투표수: 3,327</v>
      </c>
      <c r="AA34" s="47" t="s">
        <v>139</v>
      </c>
    </row>
    <row r="35" spans="1:27" ht="41.25" thickBot="1">
      <c r="A35" s="2" t="s">
        <v>0</v>
      </c>
      <c r="B35" s="2" t="s">
        <v>1</v>
      </c>
      <c r="C35" s="2" t="s">
        <v>42</v>
      </c>
      <c r="D35" s="2" t="s">
        <v>2</v>
      </c>
      <c r="E35" s="2" t="s">
        <v>2</v>
      </c>
      <c r="F35" s="2" t="s">
        <v>2</v>
      </c>
      <c r="G35" s="2" t="s">
        <v>2</v>
      </c>
      <c r="H35" s="3" t="s">
        <v>43</v>
      </c>
      <c r="I35" s="3" t="s">
        <v>44</v>
      </c>
      <c r="J35" s="3" t="s">
        <v>45</v>
      </c>
      <c r="K35" s="3" t="s">
        <v>46</v>
      </c>
      <c r="L35" s="3" t="s">
        <v>47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 t="s">
        <v>5</v>
      </c>
      <c r="T35" s="2" t="s">
        <v>2</v>
      </c>
      <c r="U35" s="2" t="s">
        <v>2</v>
      </c>
      <c r="V35" s="2" t="s">
        <v>2</v>
      </c>
      <c r="W35" s="17" t="str">
        <f>"투표율: "&amp;TEXT(((G36/F36)*100), "0.00")&amp;"%"</f>
        <v>투표율: 52.51%</v>
      </c>
      <c r="X35" s="12" t="str">
        <f>"기권율: "&amp;TEXT(((V36/F36)*100), "0.00")&amp;"%"</f>
        <v>기권율: 47.49%</v>
      </c>
      <c r="Y35" s="17" t="str">
        <f>"유효투표율: "&amp;TEXT(((T36/G36)*100), "0.00")&amp;"%"</f>
        <v>유효투표율: 94.35%</v>
      </c>
      <c r="Z35" s="12" t="str">
        <f>"무효투표율: "&amp;TEXT(((U36/G36)*100), "0.00")&amp;"%"</f>
        <v>무효투표율: 5.65%</v>
      </c>
      <c r="AA35" s="48"/>
    </row>
    <row r="36" spans="1:27" ht="17.25" thickBot="1">
      <c r="A36" s="2" t="s">
        <v>0</v>
      </c>
      <c r="B36" s="2" t="s">
        <v>1</v>
      </c>
      <c r="C36" s="2" t="s">
        <v>42</v>
      </c>
      <c r="D36" s="2" t="s">
        <v>6</v>
      </c>
      <c r="E36" s="2" t="s">
        <v>2</v>
      </c>
      <c r="F36" s="7">
        <v>112051</v>
      </c>
      <c r="G36" s="7">
        <v>58833</v>
      </c>
      <c r="H36" s="7">
        <v>19776</v>
      </c>
      <c r="I36" s="7">
        <v>9168</v>
      </c>
      <c r="J36" s="7">
        <v>18194</v>
      </c>
      <c r="K36" s="7">
        <v>6171</v>
      </c>
      <c r="L36" s="7">
        <v>2197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7">
        <v>55506</v>
      </c>
      <c r="U36" s="7">
        <v>3327</v>
      </c>
      <c r="V36" s="7">
        <v>53218</v>
      </c>
      <c r="W36" s="40" t="s">
        <v>136</v>
      </c>
      <c r="X36" s="41"/>
      <c r="Y36" s="41"/>
      <c r="Z36" s="41"/>
      <c r="AA36" s="42"/>
    </row>
    <row r="37" spans="1:27">
      <c r="A37" s="2" t="s">
        <v>0</v>
      </c>
      <c r="B37" s="2" t="s">
        <v>1</v>
      </c>
      <c r="C37" s="2" t="s">
        <v>42</v>
      </c>
      <c r="D37" s="2" t="s">
        <v>7</v>
      </c>
      <c r="E37" s="2" t="s">
        <v>2</v>
      </c>
      <c r="F37" s="8">
        <v>127</v>
      </c>
      <c r="G37" s="8">
        <v>120</v>
      </c>
      <c r="H37" s="8">
        <v>42</v>
      </c>
      <c r="I37" s="8">
        <v>17</v>
      </c>
      <c r="J37" s="8">
        <v>37</v>
      </c>
      <c r="K37" s="8">
        <v>11</v>
      </c>
      <c r="L37" s="8">
        <v>2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109</v>
      </c>
      <c r="U37" s="8">
        <v>11</v>
      </c>
      <c r="V37" s="8">
        <v>7</v>
      </c>
      <c r="W37" s="23" t="s">
        <v>137</v>
      </c>
      <c r="X37" s="23" t="s">
        <v>119</v>
      </c>
      <c r="Y37" s="23" t="s">
        <v>120</v>
      </c>
      <c r="Z37" s="23" t="s">
        <v>121</v>
      </c>
      <c r="AA37" s="26" t="s">
        <v>122</v>
      </c>
    </row>
    <row r="38" spans="1:27">
      <c r="A38" s="2" t="s">
        <v>0</v>
      </c>
      <c r="B38" s="2" t="s">
        <v>1</v>
      </c>
      <c r="C38" s="2" t="s">
        <v>42</v>
      </c>
      <c r="D38" s="2" t="s">
        <v>8</v>
      </c>
      <c r="E38" s="2" t="s">
        <v>2</v>
      </c>
      <c r="F38" s="7">
        <v>7033</v>
      </c>
      <c r="G38" s="7">
        <v>7018</v>
      </c>
      <c r="H38" s="7">
        <v>2503</v>
      </c>
      <c r="I38" s="7">
        <v>1052</v>
      </c>
      <c r="J38" s="7">
        <v>2168</v>
      </c>
      <c r="K38" s="8">
        <v>622</v>
      </c>
      <c r="L38" s="8">
        <v>319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7">
        <v>6664</v>
      </c>
      <c r="U38" s="8">
        <v>354</v>
      </c>
      <c r="V38" s="8">
        <v>15</v>
      </c>
      <c r="W38" s="24" t="str">
        <f>H35</f>
        <v>더불어민주당
박성호</v>
      </c>
      <c r="X38" s="24" t="str">
        <f t="shared" ref="X38:AA38" si="4">I35</f>
        <v>더불어민주당
양정숙</v>
      </c>
      <c r="Y38" s="24" t="str">
        <f t="shared" si="4"/>
        <v>국민의힘
장성철</v>
      </c>
      <c r="Z38" s="24" t="str">
        <f t="shared" si="4"/>
        <v>국민의힘
송원기</v>
      </c>
      <c r="AA38" s="27" t="str">
        <f t="shared" si="4"/>
        <v>정의당
이미숙</v>
      </c>
    </row>
    <row r="39" spans="1:27" ht="17.25" thickBot="1">
      <c r="A39" s="2" t="s">
        <v>0</v>
      </c>
      <c r="B39" s="2" t="s">
        <v>1</v>
      </c>
      <c r="C39" s="2" t="s">
        <v>42</v>
      </c>
      <c r="D39" s="2" t="s">
        <v>15</v>
      </c>
      <c r="E39" s="2" t="s">
        <v>10</v>
      </c>
      <c r="F39" s="7">
        <v>104891</v>
      </c>
      <c r="G39" s="7">
        <v>51647</v>
      </c>
      <c r="H39" s="7">
        <v>17222</v>
      </c>
      <c r="I39" s="7">
        <v>8093</v>
      </c>
      <c r="J39" s="7">
        <v>15965</v>
      </c>
      <c r="K39" s="7">
        <v>5532</v>
      </c>
      <c r="L39" s="7">
        <v>1873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7">
        <v>48685</v>
      </c>
      <c r="U39" s="7">
        <v>2962</v>
      </c>
      <c r="V39" s="7">
        <v>53244</v>
      </c>
      <c r="W39" s="25" t="str">
        <f>TEXT(H36,"#,##0")&amp;CHAR(10)&amp;"("&amp;TEXT((ROUND((H36/(SUM(H36:L36))*100),2)),"0.00")&amp;"%)"</f>
        <v>19,776
(35.63%)</v>
      </c>
      <c r="X39" s="25" t="str">
        <f>TEXT(I36,"#,##0")&amp;CHAR(10)&amp;"("&amp;TEXT((ROUND((I36/(SUM(H36:L36))*100),2)),"0.00")&amp;"%)"</f>
        <v>9,168
(16.52%)</v>
      </c>
      <c r="Y39" s="25" t="str">
        <f>TEXT(J36,"#,##0")&amp;CHAR(10)&amp;"("&amp;TEXT((ROUND((J36/(SUM(H36:L36))*100),2)),"0.00")&amp;"%)"</f>
        <v>18,194
(32.78%)</v>
      </c>
      <c r="Z39" s="25" t="str">
        <f>TEXT(K36,"#,##0")&amp;CHAR(10)&amp;"("&amp;TEXT((ROUND((K36/(SUM(H36:L36))*100),2)),"0.00")&amp;"%)"</f>
        <v>6,171
(11.12%)</v>
      </c>
      <c r="AA39" s="28" t="str">
        <f>TEXT(L36,"#,##0")&amp;CHAR(10)&amp;"("&amp;TEXT((ROUND((L36/(SUM(H36:L36))*100),2)),"0.00")&amp;"%)"</f>
        <v>2,197
(3.96%)</v>
      </c>
    </row>
    <row r="40" spans="1:27" ht="17.25" thickBot="1">
      <c r="A40" s="2" t="s">
        <v>0</v>
      </c>
      <c r="B40" s="2" t="s">
        <v>1</v>
      </c>
      <c r="C40" s="2" t="s">
        <v>42</v>
      </c>
      <c r="D40" s="2" t="s">
        <v>15</v>
      </c>
      <c r="E40" s="2" t="s">
        <v>11</v>
      </c>
      <c r="F40" s="7">
        <v>14948</v>
      </c>
      <c r="G40" s="7">
        <v>14921</v>
      </c>
      <c r="H40" s="7">
        <v>5245</v>
      </c>
      <c r="I40" s="7">
        <v>2529</v>
      </c>
      <c r="J40" s="7">
        <v>4334</v>
      </c>
      <c r="K40" s="7">
        <v>1482</v>
      </c>
      <c r="L40" s="8">
        <v>437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7">
        <v>14027</v>
      </c>
      <c r="U40" s="8">
        <v>894</v>
      </c>
      <c r="V40" s="8">
        <v>27</v>
      </c>
    </row>
    <row r="41" spans="1:27" ht="17.25" thickBot="1">
      <c r="A41" s="2" t="s">
        <v>0</v>
      </c>
      <c r="B41" s="2" t="s">
        <v>1</v>
      </c>
      <c r="C41" s="2" t="s">
        <v>42</v>
      </c>
      <c r="D41" s="2" t="s">
        <v>15</v>
      </c>
      <c r="E41" s="2" t="s">
        <v>12</v>
      </c>
      <c r="F41" s="7">
        <v>89943</v>
      </c>
      <c r="G41" s="7">
        <v>36726</v>
      </c>
      <c r="H41" s="7">
        <v>11977</v>
      </c>
      <c r="I41" s="7">
        <v>5564</v>
      </c>
      <c r="J41" s="7">
        <v>11631</v>
      </c>
      <c r="K41" s="7">
        <v>4050</v>
      </c>
      <c r="L41" s="7">
        <v>1436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7">
        <v>34658</v>
      </c>
      <c r="U41" s="7">
        <v>2068</v>
      </c>
      <c r="V41" s="7">
        <v>53217</v>
      </c>
      <c r="W41" s="44" t="str">
        <f>C43</f>
        <v>부천시바선거구</v>
      </c>
      <c r="X41" s="45"/>
      <c r="Y41" s="45"/>
      <c r="Z41" s="46"/>
      <c r="AA41" s="30" t="s">
        <v>138</v>
      </c>
    </row>
    <row r="42" spans="1:27" ht="17.25" thickBot="1">
      <c r="A42" s="2" t="s">
        <v>0</v>
      </c>
      <c r="B42" s="2" t="s">
        <v>1</v>
      </c>
      <c r="C42" s="2" t="s">
        <v>42</v>
      </c>
      <c r="D42" s="2" t="s">
        <v>22</v>
      </c>
      <c r="E42" s="2" t="s">
        <v>2</v>
      </c>
      <c r="F42" s="8">
        <v>0</v>
      </c>
      <c r="G42" s="8">
        <v>48</v>
      </c>
      <c r="H42" s="8">
        <v>9</v>
      </c>
      <c r="I42" s="8">
        <v>6</v>
      </c>
      <c r="J42" s="8">
        <v>24</v>
      </c>
      <c r="K42" s="8">
        <v>6</v>
      </c>
      <c r="L42" s="8">
        <v>3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48</v>
      </c>
      <c r="U42" s="8">
        <v>0</v>
      </c>
      <c r="V42" s="8">
        <v>-48</v>
      </c>
      <c r="W42" s="40" t="str">
        <f>"투표수: "&amp;TEXT((SUM(H44:L44)+U44), "#,##0")</f>
        <v>투표수: 35,586</v>
      </c>
      <c r="X42" s="42"/>
      <c r="Y42" s="18" t="str">
        <f>"유효투표수: "&amp;TEXT(SUM(H44:L44),"#,##0")</f>
        <v>유효투표수: 34,657</v>
      </c>
      <c r="Z42" s="16" t="str">
        <f>"무효투표수: "&amp;TEXT(U44, "#,##0")</f>
        <v>무효투표수: 929</v>
      </c>
      <c r="AA42" s="47" t="s">
        <v>140</v>
      </c>
    </row>
    <row r="43" spans="1:27" ht="41.25" thickBot="1">
      <c r="A43" s="2" t="s">
        <v>0</v>
      </c>
      <c r="B43" s="2" t="s">
        <v>1</v>
      </c>
      <c r="C43" s="2" t="s">
        <v>48</v>
      </c>
      <c r="D43" s="2" t="s">
        <v>2</v>
      </c>
      <c r="E43" s="2" t="s">
        <v>2</v>
      </c>
      <c r="F43" s="2" t="s">
        <v>2</v>
      </c>
      <c r="G43" s="2" t="s">
        <v>2</v>
      </c>
      <c r="H43" s="3" t="s">
        <v>49</v>
      </c>
      <c r="I43" s="3" t="s">
        <v>50</v>
      </c>
      <c r="J43" s="3" t="s">
        <v>51</v>
      </c>
      <c r="K43" s="3" t="s">
        <v>52</v>
      </c>
      <c r="L43" s="3" t="s">
        <v>53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 t="s">
        <v>5</v>
      </c>
      <c r="T43" s="2" t="s">
        <v>2</v>
      </c>
      <c r="U43" s="2" t="s">
        <v>2</v>
      </c>
      <c r="V43" s="2" t="s">
        <v>2</v>
      </c>
      <c r="W43" s="17" t="str">
        <f>"투표율: "&amp;TEXT(((G44/F44)*100), "0.00")&amp;"%"</f>
        <v>투표율: 48.86%</v>
      </c>
      <c r="X43" s="12" t="str">
        <f>"기권율: "&amp;TEXT(((V44/F44)*100), "0.00")&amp;"%"</f>
        <v>기권율: 51.14%</v>
      </c>
      <c r="Y43" s="17" t="str">
        <f>"유효투표율: "&amp;TEXT(((T44/G44)*100), "0.00")&amp;"%"</f>
        <v>유효투표율: 97.39%</v>
      </c>
      <c r="Z43" s="12" t="str">
        <f>"무효투표율: "&amp;TEXT(((U44/G44)*100), "0.00")&amp;"%"</f>
        <v>무효투표율: 2.61%</v>
      </c>
      <c r="AA43" s="48"/>
    </row>
    <row r="44" spans="1:27" ht="17.25" thickBot="1">
      <c r="A44" s="2" t="s">
        <v>0</v>
      </c>
      <c r="B44" s="2" t="s">
        <v>1</v>
      </c>
      <c r="C44" s="2" t="s">
        <v>48</v>
      </c>
      <c r="D44" s="2" t="s">
        <v>6</v>
      </c>
      <c r="E44" s="2" t="s">
        <v>2</v>
      </c>
      <c r="F44" s="7">
        <v>72828</v>
      </c>
      <c r="G44" s="7">
        <v>35586</v>
      </c>
      <c r="H44" s="7">
        <v>16024</v>
      </c>
      <c r="I44" s="7">
        <v>11138</v>
      </c>
      <c r="J44" s="7">
        <v>5259</v>
      </c>
      <c r="K44" s="7">
        <v>1571</v>
      </c>
      <c r="L44" s="8">
        <v>665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7">
        <v>34657</v>
      </c>
      <c r="U44" s="8">
        <v>929</v>
      </c>
      <c r="V44" s="7">
        <v>37242</v>
      </c>
      <c r="W44" s="40" t="s">
        <v>136</v>
      </c>
      <c r="X44" s="41"/>
      <c r="Y44" s="41"/>
      <c r="Z44" s="41"/>
      <c r="AA44" s="42"/>
    </row>
    <row r="45" spans="1:27">
      <c r="A45" s="2" t="s">
        <v>0</v>
      </c>
      <c r="B45" s="2" t="s">
        <v>1</v>
      </c>
      <c r="C45" s="2" t="s">
        <v>48</v>
      </c>
      <c r="D45" s="2" t="s">
        <v>7</v>
      </c>
      <c r="E45" s="2" t="s">
        <v>2</v>
      </c>
      <c r="F45" s="8">
        <v>151</v>
      </c>
      <c r="G45" s="8">
        <v>139</v>
      </c>
      <c r="H45" s="8">
        <v>37</v>
      </c>
      <c r="I45" s="8">
        <v>21</v>
      </c>
      <c r="J45" s="8">
        <v>22</v>
      </c>
      <c r="K45" s="8">
        <v>6</v>
      </c>
      <c r="L45" s="8">
        <v>7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93</v>
      </c>
      <c r="U45" s="8">
        <v>46</v>
      </c>
      <c r="V45" s="8">
        <v>12</v>
      </c>
      <c r="W45" s="23" t="s">
        <v>137</v>
      </c>
      <c r="X45" s="23" t="s">
        <v>119</v>
      </c>
      <c r="Y45" s="23" t="s">
        <v>120</v>
      </c>
      <c r="Z45" s="23" t="s">
        <v>121</v>
      </c>
      <c r="AA45" s="26" t="s">
        <v>122</v>
      </c>
    </row>
    <row r="46" spans="1:27">
      <c r="A46" s="2" t="s">
        <v>0</v>
      </c>
      <c r="B46" s="2" t="s">
        <v>1</v>
      </c>
      <c r="C46" s="2" t="s">
        <v>48</v>
      </c>
      <c r="D46" s="2" t="s">
        <v>8</v>
      </c>
      <c r="E46" s="2" t="s">
        <v>2</v>
      </c>
      <c r="F46" s="7">
        <v>3460</v>
      </c>
      <c r="G46" s="7">
        <v>3450</v>
      </c>
      <c r="H46" s="7">
        <v>1715</v>
      </c>
      <c r="I46" s="7">
        <v>1071</v>
      </c>
      <c r="J46" s="8">
        <v>360</v>
      </c>
      <c r="K46" s="8">
        <v>145</v>
      </c>
      <c r="L46" s="8">
        <v>70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7">
        <v>3361</v>
      </c>
      <c r="U46" s="8">
        <v>89</v>
      </c>
      <c r="V46" s="8">
        <v>10</v>
      </c>
      <c r="W46" s="24" t="str">
        <f>H43</f>
        <v>더불어민주당
최성운</v>
      </c>
      <c r="X46" s="24" t="str">
        <f t="shared" ref="X46:AA46" si="5">I43</f>
        <v>국민의힘
정창곤</v>
      </c>
      <c r="Y46" s="24" t="str">
        <f t="shared" si="5"/>
        <v>국민의힘
이상열</v>
      </c>
      <c r="Z46" s="24" t="str">
        <f t="shared" si="5"/>
        <v>정의당
안경선</v>
      </c>
      <c r="AA46" s="27" t="str">
        <f t="shared" si="5"/>
        <v>무소속
예승현</v>
      </c>
    </row>
    <row r="47" spans="1:27" ht="17.25" thickBot="1">
      <c r="A47" s="2" t="s">
        <v>0</v>
      </c>
      <c r="B47" s="2" t="s">
        <v>1</v>
      </c>
      <c r="C47" s="2" t="s">
        <v>48</v>
      </c>
      <c r="D47" s="2" t="s">
        <v>17</v>
      </c>
      <c r="E47" s="2" t="s">
        <v>10</v>
      </c>
      <c r="F47" s="7">
        <v>69217</v>
      </c>
      <c r="G47" s="7">
        <v>31963</v>
      </c>
      <c r="H47" s="7">
        <v>14260</v>
      </c>
      <c r="I47" s="7">
        <v>10032</v>
      </c>
      <c r="J47" s="7">
        <v>4874</v>
      </c>
      <c r="K47" s="7">
        <v>1418</v>
      </c>
      <c r="L47" s="8">
        <v>587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7">
        <v>31171</v>
      </c>
      <c r="U47" s="8">
        <v>792</v>
      </c>
      <c r="V47" s="7">
        <v>37254</v>
      </c>
      <c r="W47" s="25" t="str">
        <f>TEXT(H44,"#,##0")&amp;CHAR(10)&amp;"("&amp;TEXT((ROUND((H44/(SUM(H44:L44))*100),2)),"0.00")&amp;"%)"</f>
        <v>16,024
(46.24%)</v>
      </c>
      <c r="X47" s="25" t="str">
        <f>TEXT(I44,"#,##0")&amp;CHAR(10)&amp;"("&amp;TEXT((ROUND((I44/(SUM(H44:L44))*100),2)),"0.00")&amp;"%)"</f>
        <v>11,138
(32.14%)</v>
      </c>
      <c r="Y47" s="25" t="str">
        <f>TEXT(J44,"#,##0")&amp;CHAR(10)&amp;"("&amp;TEXT((ROUND((J44/(SUM(H44:L44))*100),2)),"0.00")&amp;"%)"</f>
        <v>5,259
(15.17%)</v>
      </c>
      <c r="Z47" s="25" t="str">
        <f>TEXT(K44,"#,##0")&amp;CHAR(10)&amp;"("&amp;TEXT((ROUND((K44/(SUM(H44:L44))*100),2)),"0.00")&amp;"%)"</f>
        <v>1,571
(4.53%)</v>
      </c>
      <c r="AA47" s="28" t="str">
        <f>TEXT(L44,"#,##0")&amp;CHAR(10)&amp;"("&amp;TEXT((ROUND((L44/(SUM(H44:L44))*100),2)),"0.00")&amp;"%)"</f>
        <v>665
(1.92%)</v>
      </c>
    </row>
    <row r="48" spans="1:27" ht="17.25" thickBot="1">
      <c r="A48" s="2" t="s">
        <v>0</v>
      </c>
      <c r="B48" s="2" t="s">
        <v>1</v>
      </c>
      <c r="C48" s="2" t="s">
        <v>48</v>
      </c>
      <c r="D48" s="2" t="s">
        <v>17</v>
      </c>
      <c r="E48" s="2" t="s">
        <v>11</v>
      </c>
      <c r="F48" s="7">
        <v>10727</v>
      </c>
      <c r="G48" s="7">
        <v>10705</v>
      </c>
      <c r="H48" s="7">
        <v>5021</v>
      </c>
      <c r="I48" s="7">
        <v>3361</v>
      </c>
      <c r="J48" s="7">
        <v>1544</v>
      </c>
      <c r="K48" s="8">
        <v>434</v>
      </c>
      <c r="L48" s="8">
        <v>139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7">
        <v>10499</v>
      </c>
      <c r="U48" s="8">
        <v>206</v>
      </c>
      <c r="V48" s="8">
        <v>22</v>
      </c>
    </row>
    <row r="49" spans="1:27" ht="17.25" thickBot="1">
      <c r="A49" s="2" t="s">
        <v>0</v>
      </c>
      <c r="B49" s="2" t="s">
        <v>1</v>
      </c>
      <c r="C49" s="2" t="s">
        <v>48</v>
      </c>
      <c r="D49" s="2" t="s">
        <v>17</v>
      </c>
      <c r="E49" s="2" t="s">
        <v>12</v>
      </c>
      <c r="F49" s="7">
        <v>58490</v>
      </c>
      <c r="G49" s="7">
        <v>21258</v>
      </c>
      <c r="H49" s="7">
        <v>9239</v>
      </c>
      <c r="I49" s="7">
        <v>6671</v>
      </c>
      <c r="J49" s="7">
        <v>3330</v>
      </c>
      <c r="K49" s="8">
        <v>984</v>
      </c>
      <c r="L49" s="8">
        <v>448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7">
        <v>20672</v>
      </c>
      <c r="U49" s="8">
        <v>586</v>
      </c>
      <c r="V49" s="7">
        <v>37232</v>
      </c>
      <c r="W49" s="44" t="str">
        <f>C51</f>
        <v>부천시사선거구</v>
      </c>
      <c r="X49" s="45"/>
      <c r="Y49" s="45"/>
      <c r="Z49" s="46"/>
      <c r="AA49" s="30" t="s">
        <v>138</v>
      </c>
    </row>
    <row r="50" spans="1:27" ht="17.25" thickBot="1">
      <c r="A50" s="2" t="s">
        <v>0</v>
      </c>
      <c r="B50" s="2" t="s">
        <v>1</v>
      </c>
      <c r="C50" s="2" t="s">
        <v>48</v>
      </c>
      <c r="D50" s="2" t="s">
        <v>22</v>
      </c>
      <c r="E50" s="2" t="s">
        <v>2</v>
      </c>
      <c r="F50" s="8">
        <v>0</v>
      </c>
      <c r="G50" s="8">
        <v>34</v>
      </c>
      <c r="H50" s="8">
        <v>12</v>
      </c>
      <c r="I50" s="8">
        <v>14</v>
      </c>
      <c r="J50" s="8">
        <v>3</v>
      </c>
      <c r="K50" s="8">
        <v>2</v>
      </c>
      <c r="L50" s="8">
        <v>1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32</v>
      </c>
      <c r="U50" s="8">
        <v>2</v>
      </c>
      <c r="V50" s="8">
        <v>-34</v>
      </c>
      <c r="W50" s="40" t="str">
        <f>"투표수: "&amp;TEXT((SUM(H52:L52)+U52), "#,##0")</f>
        <v>투표수: 25,352</v>
      </c>
      <c r="X50" s="42"/>
      <c r="Y50" s="18" t="str">
        <f>"유효투표수: "&amp;TEXT(SUM(H52:L52),"#,##0")</f>
        <v>유효투표수: 24,500</v>
      </c>
      <c r="Z50" s="16" t="str">
        <f>"무효투표수: "&amp;TEXT(U52, "#,##0")</f>
        <v>무효투표수: 852</v>
      </c>
      <c r="AA50" s="47" t="s">
        <v>140</v>
      </c>
    </row>
    <row r="51" spans="1:27" ht="41.25" thickBot="1">
      <c r="A51" s="2" t="s">
        <v>0</v>
      </c>
      <c r="B51" s="2" t="s">
        <v>1</v>
      </c>
      <c r="C51" s="2" t="s">
        <v>54</v>
      </c>
      <c r="D51" s="2" t="s">
        <v>2</v>
      </c>
      <c r="E51" s="2" t="s">
        <v>2</v>
      </c>
      <c r="F51" s="2" t="s">
        <v>2</v>
      </c>
      <c r="G51" s="2" t="s">
        <v>2</v>
      </c>
      <c r="H51" s="3" t="s">
        <v>55</v>
      </c>
      <c r="I51" s="3" t="s">
        <v>56</v>
      </c>
      <c r="J51" s="3" t="s">
        <v>57</v>
      </c>
      <c r="K51" s="3" t="s">
        <v>58</v>
      </c>
      <c r="L51" s="3" t="s">
        <v>5</v>
      </c>
      <c r="M51" s="3" t="s">
        <v>5</v>
      </c>
      <c r="N51" s="3" t="s">
        <v>5</v>
      </c>
      <c r="O51" s="3" t="s">
        <v>5</v>
      </c>
      <c r="P51" s="3" t="s">
        <v>5</v>
      </c>
      <c r="Q51" s="3" t="s">
        <v>5</v>
      </c>
      <c r="R51" s="3" t="s">
        <v>5</v>
      </c>
      <c r="S51" s="3" t="s">
        <v>5</v>
      </c>
      <c r="T51" s="2" t="s">
        <v>2</v>
      </c>
      <c r="U51" s="2" t="s">
        <v>2</v>
      </c>
      <c r="V51" s="2" t="s">
        <v>2</v>
      </c>
      <c r="W51" s="17" t="str">
        <f>"투표율: "&amp;TEXT(((G52/F52)*100), "0.00")&amp;"%"</f>
        <v>투표율: 50.47%</v>
      </c>
      <c r="X51" s="12" t="str">
        <f>"기권율: "&amp;TEXT(((V52/F52)*100), "0.00")&amp;"%"</f>
        <v>기권율: 49.53%</v>
      </c>
      <c r="Y51" s="17" t="str">
        <f>"유효투표율: "&amp;TEXT(((T52/G52)*100), "0.00")&amp;"%"</f>
        <v>유효투표율: 96.64%</v>
      </c>
      <c r="Z51" s="12" t="str">
        <f>"무효투표율: "&amp;TEXT(((U52/G52)*100), "0.00")&amp;"%"</f>
        <v>무효투표율: 3.36%</v>
      </c>
      <c r="AA51" s="48"/>
    </row>
    <row r="52" spans="1:27" ht="17.25" thickBot="1">
      <c r="A52" s="2" t="s">
        <v>0</v>
      </c>
      <c r="B52" s="2" t="s">
        <v>1</v>
      </c>
      <c r="C52" s="2" t="s">
        <v>54</v>
      </c>
      <c r="D52" s="2" t="s">
        <v>6</v>
      </c>
      <c r="E52" s="2" t="s">
        <v>2</v>
      </c>
      <c r="F52" s="7">
        <v>50236</v>
      </c>
      <c r="G52" s="7">
        <v>25352</v>
      </c>
      <c r="H52" s="7">
        <v>12623</v>
      </c>
      <c r="I52" s="7">
        <v>8717</v>
      </c>
      <c r="J52" s="7">
        <v>2567</v>
      </c>
      <c r="K52" s="8">
        <v>593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7">
        <v>24500</v>
      </c>
      <c r="U52" s="8">
        <v>852</v>
      </c>
      <c r="V52" s="7">
        <v>24884</v>
      </c>
      <c r="W52" s="40" t="s">
        <v>136</v>
      </c>
      <c r="X52" s="41"/>
      <c r="Y52" s="41"/>
      <c r="Z52" s="41"/>
      <c r="AA52" s="42"/>
    </row>
    <row r="53" spans="1:27">
      <c r="A53" s="2" t="s">
        <v>0</v>
      </c>
      <c r="B53" s="2" t="s">
        <v>1</v>
      </c>
      <c r="C53" s="2" t="s">
        <v>54</v>
      </c>
      <c r="D53" s="2" t="s">
        <v>7</v>
      </c>
      <c r="E53" s="2" t="s">
        <v>2</v>
      </c>
      <c r="F53" s="8">
        <v>53</v>
      </c>
      <c r="G53" s="8">
        <v>49</v>
      </c>
      <c r="H53" s="8">
        <v>23</v>
      </c>
      <c r="I53" s="8">
        <v>13</v>
      </c>
      <c r="J53" s="8">
        <v>6</v>
      </c>
      <c r="K53" s="8">
        <v>2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44</v>
      </c>
      <c r="U53" s="8">
        <v>5</v>
      </c>
      <c r="V53" s="8">
        <v>4</v>
      </c>
      <c r="W53" s="23" t="s">
        <v>137</v>
      </c>
      <c r="X53" s="23" t="s">
        <v>119</v>
      </c>
      <c r="Y53" s="23" t="s">
        <v>120</v>
      </c>
      <c r="Z53" s="23" t="s">
        <v>121</v>
      </c>
      <c r="AA53" s="26" t="s">
        <v>122</v>
      </c>
    </row>
    <row r="54" spans="1:27">
      <c r="A54" s="2" t="s">
        <v>0</v>
      </c>
      <c r="B54" s="2" t="s">
        <v>1</v>
      </c>
      <c r="C54" s="2" t="s">
        <v>54</v>
      </c>
      <c r="D54" s="2" t="s">
        <v>8</v>
      </c>
      <c r="E54" s="2" t="s">
        <v>2</v>
      </c>
      <c r="F54" s="7">
        <v>2863</v>
      </c>
      <c r="G54" s="7">
        <v>2849</v>
      </c>
      <c r="H54" s="7">
        <v>1619</v>
      </c>
      <c r="I54" s="8">
        <v>996</v>
      </c>
      <c r="J54" s="8">
        <v>145</v>
      </c>
      <c r="K54" s="8">
        <v>41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7">
        <v>2801</v>
      </c>
      <c r="U54" s="8">
        <v>48</v>
      </c>
      <c r="V54" s="8">
        <v>14</v>
      </c>
      <c r="W54" s="24" t="str">
        <f>H51</f>
        <v>더불어민주당
김주삼</v>
      </c>
      <c r="X54" s="24" t="str">
        <f t="shared" ref="X54:AA54" si="6">I51</f>
        <v>국민의힘
최옥순</v>
      </c>
      <c r="Y54" s="24" t="str">
        <f t="shared" si="6"/>
        <v>무소속
김환석</v>
      </c>
      <c r="Z54" s="24" t="str">
        <f t="shared" si="6"/>
        <v>무소속
정준용</v>
      </c>
      <c r="AA54" s="27" t="str">
        <f t="shared" si="6"/>
        <v xml:space="preserve">
</v>
      </c>
    </row>
    <row r="55" spans="1:27" ht="17.25" thickBot="1">
      <c r="A55" s="2" t="s">
        <v>0</v>
      </c>
      <c r="B55" s="2" t="s">
        <v>1</v>
      </c>
      <c r="C55" s="2" t="s">
        <v>54</v>
      </c>
      <c r="D55" s="2" t="s">
        <v>18</v>
      </c>
      <c r="E55" s="2" t="s">
        <v>10</v>
      </c>
      <c r="F55" s="7">
        <v>47320</v>
      </c>
      <c r="G55" s="7">
        <v>22371</v>
      </c>
      <c r="H55" s="7">
        <v>10952</v>
      </c>
      <c r="I55" s="7">
        <v>7686</v>
      </c>
      <c r="J55" s="7">
        <v>2406</v>
      </c>
      <c r="K55" s="8">
        <v>545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7">
        <v>21589</v>
      </c>
      <c r="U55" s="8">
        <v>782</v>
      </c>
      <c r="V55" s="7">
        <v>24949</v>
      </c>
      <c r="W55" s="25" t="str">
        <f>TEXT(H52,"#,##0")&amp;CHAR(10)&amp;"("&amp;TEXT((ROUND((H52/(SUM(H52:L52))*100),2)),"0.00")&amp;"%)"</f>
        <v>12,623
(51.52%)</v>
      </c>
      <c r="X55" s="25" t="str">
        <f>TEXT(I52,"#,##0")&amp;CHAR(10)&amp;"("&amp;TEXT((ROUND((I52/(SUM(H52:L52))*100),2)),"0.00")&amp;"%)"</f>
        <v>8,717
(35.58%)</v>
      </c>
      <c r="Y55" s="25" t="str">
        <f>TEXT(J52,"#,##0")&amp;CHAR(10)&amp;"("&amp;TEXT((ROUND((J52/(SUM(H52:L52))*100),2)),"0.00")&amp;"%)"</f>
        <v>2,567
(10.48%)</v>
      </c>
      <c r="Z55" s="25" t="str">
        <f>TEXT(K52,"#,##0")&amp;CHAR(10)&amp;"("&amp;TEXT((ROUND((K52/(SUM(H52:L52))*100),2)),"0.00")&amp;"%)"</f>
        <v>593
(2.42%)</v>
      </c>
      <c r="AA55" s="28" t="str">
        <f>TEXT(L52,"#,##0")&amp;CHAR(10)&amp;"("&amp;TEXT((ROUND((L52/(SUM(H52:L52))*100),2)),"0.00")&amp;"%)"</f>
        <v>0
(0.00%)</v>
      </c>
    </row>
    <row r="56" spans="1:27" ht="17.25" thickBot="1">
      <c r="A56" s="2" t="s">
        <v>0</v>
      </c>
      <c r="B56" s="2" t="s">
        <v>1</v>
      </c>
      <c r="C56" s="2" t="s">
        <v>54</v>
      </c>
      <c r="D56" s="2" t="s">
        <v>18</v>
      </c>
      <c r="E56" s="2" t="s">
        <v>11</v>
      </c>
      <c r="F56" s="7">
        <v>7201</v>
      </c>
      <c r="G56" s="7">
        <v>7180</v>
      </c>
      <c r="H56" s="7">
        <v>3605</v>
      </c>
      <c r="I56" s="7">
        <v>2451</v>
      </c>
      <c r="J56" s="8">
        <v>827</v>
      </c>
      <c r="K56" s="8">
        <v>179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7">
        <v>7062</v>
      </c>
      <c r="U56" s="8">
        <v>118</v>
      </c>
      <c r="V56" s="8">
        <v>21</v>
      </c>
    </row>
    <row r="57" spans="1:27" ht="17.25" thickBot="1">
      <c r="A57" s="2" t="s">
        <v>0</v>
      </c>
      <c r="B57" s="2" t="s">
        <v>1</v>
      </c>
      <c r="C57" s="2" t="s">
        <v>54</v>
      </c>
      <c r="D57" s="2" t="s">
        <v>18</v>
      </c>
      <c r="E57" s="2" t="s">
        <v>12</v>
      </c>
      <c r="F57" s="7">
        <v>40119</v>
      </c>
      <c r="G57" s="7">
        <v>15191</v>
      </c>
      <c r="H57" s="7">
        <v>7347</v>
      </c>
      <c r="I57" s="7">
        <v>5235</v>
      </c>
      <c r="J57" s="7">
        <v>1579</v>
      </c>
      <c r="K57" s="8">
        <v>366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7">
        <v>14527</v>
      </c>
      <c r="U57" s="8">
        <v>664</v>
      </c>
      <c r="V57" s="7">
        <v>24928</v>
      </c>
      <c r="W57" s="44" t="str">
        <f>C59</f>
        <v>부천시아선거구</v>
      </c>
      <c r="X57" s="45"/>
      <c r="Y57" s="45"/>
      <c r="Z57" s="46"/>
      <c r="AA57" s="30" t="s">
        <v>138</v>
      </c>
    </row>
    <row r="58" spans="1:27" ht="17.25" thickBot="1">
      <c r="A58" s="2" t="s">
        <v>0</v>
      </c>
      <c r="B58" s="2" t="s">
        <v>1</v>
      </c>
      <c r="C58" s="2" t="s">
        <v>54</v>
      </c>
      <c r="D58" s="2" t="s">
        <v>22</v>
      </c>
      <c r="E58" s="2" t="s">
        <v>2</v>
      </c>
      <c r="F58" s="8">
        <v>0</v>
      </c>
      <c r="G58" s="8">
        <v>83</v>
      </c>
      <c r="H58" s="8">
        <v>29</v>
      </c>
      <c r="I58" s="8">
        <v>22</v>
      </c>
      <c r="J58" s="8">
        <v>10</v>
      </c>
      <c r="K58" s="8">
        <v>5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66</v>
      </c>
      <c r="U58" s="8">
        <v>17</v>
      </c>
      <c r="V58" s="8">
        <v>-83</v>
      </c>
      <c r="W58" s="40" t="str">
        <f>"투표수: "&amp;TEXT((SUM(H60:L60)+U60), "#,##0")</f>
        <v>투표수: 41,783</v>
      </c>
      <c r="X58" s="42"/>
      <c r="Y58" s="18" t="str">
        <f>"유효투표수: "&amp;TEXT(SUM(H60:L60),"#,##0")</f>
        <v>유효투표수: 37,446</v>
      </c>
      <c r="Z58" s="16" t="str">
        <f>"무효투표수: "&amp;TEXT(U60, "#,##0")</f>
        <v>무효투표수: 4,337</v>
      </c>
      <c r="AA58" s="47" t="s">
        <v>140</v>
      </c>
    </row>
    <row r="59" spans="1:27" ht="41.25" thickBot="1">
      <c r="A59" s="2" t="s">
        <v>0</v>
      </c>
      <c r="B59" s="2" t="s">
        <v>1</v>
      </c>
      <c r="C59" s="2" t="s">
        <v>59</v>
      </c>
      <c r="D59" s="2" t="s">
        <v>2</v>
      </c>
      <c r="E59" s="2" t="s">
        <v>2</v>
      </c>
      <c r="F59" s="2" t="s">
        <v>2</v>
      </c>
      <c r="G59" s="2" t="s">
        <v>2</v>
      </c>
      <c r="H59" s="3" t="s">
        <v>60</v>
      </c>
      <c r="I59" s="3" t="s">
        <v>61</v>
      </c>
      <c r="J59" s="3" t="s">
        <v>62</v>
      </c>
      <c r="K59" s="3" t="s">
        <v>63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2" t="s">
        <v>2</v>
      </c>
      <c r="U59" s="2" t="s">
        <v>2</v>
      </c>
      <c r="V59" s="2" t="s">
        <v>2</v>
      </c>
      <c r="W59" s="17" t="str">
        <f>"투표율: "&amp;TEXT(((G60/F60)*100), "0.00")&amp;"%"</f>
        <v>투표율: 53.53%</v>
      </c>
      <c r="X59" s="12" t="str">
        <f>"기권율: "&amp;TEXT(((V60/F60)*100), "0.00")&amp;"%"</f>
        <v>기권율: 46.47%</v>
      </c>
      <c r="Y59" s="17" t="str">
        <f>"유효투표율: "&amp;TEXT(((T60/G60)*100), "0.00")&amp;"%"</f>
        <v>유효투표율: 89.62%</v>
      </c>
      <c r="Z59" s="12" t="str">
        <f>"무효투표율: "&amp;TEXT(((U60/G60)*100), "0.00")&amp;"%"</f>
        <v>무효투표율: 10.38%</v>
      </c>
      <c r="AA59" s="48"/>
    </row>
    <row r="60" spans="1:27" ht="17.25" thickBot="1">
      <c r="A60" s="2" t="s">
        <v>0</v>
      </c>
      <c r="B60" s="2" t="s">
        <v>1</v>
      </c>
      <c r="C60" s="2" t="s">
        <v>59</v>
      </c>
      <c r="D60" s="2" t="s">
        <v>6</v>
      </c>
      <c r="E60" s="2" t="s">
        <v>2</v>
      </c>
      <c r="F60" s="7">
        <v>78062</v>
      </c>
      <c r="G60" s="7">
        <v>41783</v>
      </c>
      <c r="H60" s="7">
        <v>16200</v>
      </c>
      <c r="I60" s="7">
        <v>5641</v>
      </c>
      <c r="J60" s="7">
        <v>10597</v>
      </c>
      <c r="K60" s="7">
        <v>5008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7">
        <v>37446</v>
      </c>
      <c r="U60" s="7">
        <v>4337</v>
      </c>
      <c r="V60" s="7">
        <v>36279</v>
      </c>
      <c r="W60" s="40" t="s">
        <v>136</v>
      </c>
      <c r="X60" s="41"/>
      <c r="Y60" s="41"/>
      <c r="Z60" s="41"/>
      <c r="AA60" s="42"/>
    </row>
    <row r="61" spans="1:27">
      <c r="A61" s="2" t="s">
        <v>0</v>
      </c>
      <c r="B61" s="2" t="s">
        <v>1</v>
      </c>
      <c r="C61" s="2" t="s">
        <v>59</v>
      </c>
      <c r="D61" s="2" t="s">
        <v>7</v>
      </c>
      <c r="E61" s="2" t="s">
        <v>2</v>
      </c>
      <c r="F61" s="8">
        <v>106</v>
      </c>
      <c r="G61" s="8">
        <v>100</v>
      </c>
      <c r="H61" s="8">
        <v>26</v>
      </c>
      <c r="I61" s="8">
        <v>19</v>
      </c>
      <c r="J61" s="8">
        <v>32</v>
      </c>
      <c r="K61" s="8">
        <v>11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88</v>
      </c>
      <c r="U61" s="8">
        <v>12</v>
      </c>
      <c r="V61" s="8">
        <v>6</v>
      </c>
      <c r="W61" s="23" t="s">
        <v>137</v>
      </c>
      <c r="X61" s="23" t="s">
        <v>119</v>
      </c>
      <c r="Y61" s="23" t="s">
        <v>120</v>
      </c>
      <c r="Z61" s="23" t="s">
        <v>121</v>
      </c>
      <c r="AA61" s="26" t="s">
        <v>122</v>
      </c>
    </row>
    <row r="62" spans="1:27">
      <c r="A62" s="2" t="s">
        <v>0</v>
      </c>
      <c r="B62" s="2" t="s">
        <v>1</v>
      </c>
      <c r="C62" s="2" t="s">
        <v>59</v>
      </c>
      <c r="D62" s="2" t="s">
        <v>8</v>
      </c>
      <c r="E62" s="2" t="s">
        <v>2</v>
      </c>
      <c r="F62" s="7">
        <v>4258</v>
      </c>
      <c r="G62" s="7">
        <v>4249</v>
      </c>
      <c r="H62" s="7">
        <v>1792</v>
      </c>
      <c r="I62" s="8">
        <v>625</v>
      </c>
      <c r="J62" s="7">
        <v>1043</v>
      </c>
      <c r="K62" s="8">
        <v>401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7">
        <v>3861</v>
      </c>
      <c r="U62" s="8">
        <v>388</v>
      </c>
      <c r="V62" s="8">
        <v>9</v>
      </c>
      <c r="W62" s="24" t="str">
        <f>H59</f>
        <v>더불어민주당
송혜숙</v>
      </c>
      <c r="X62" s="24" t="str">
        <f t="shared" ref="X62:AA62" si="7">I59</f>
        <v>더불어민주당
최의열</v>
      </c>
      <c r="Y62" s="24" t="str">
        <f t="shared" si="7"/>
        <v>국민의힘
윤병권</v>
      </c>
      <c r="Z62" s="24" t="str">
        <f t="shared" si="7"/>
        <v>국민의힘
이준영</v>
      </c>
      <c r="AA62" s="27" t="str">
        <f t="shared" si="7"/>
        <v xml:space="preserve">
</v>
      </c>
    </row>
    <row r="63" spans="1:27" ht="17.25" thickBot="1">
      <c r="A63" s="2" t="s">
        <v>0</v>
      </c>
      <c r="B63" s="2" t="s">
        <v>1</v>
      </c>
      <c r="C63" s="2" t="s">
        <v>59</v>
      </c>
      <c r="D63" s="2" t="s">
        <v>19</v>
      </c>
      <c r="E63" s="2" t="s">
        <v>10</v>
      </c>
      <c r="F63" s="7">
        <v>73698</v>
      </c>
      <c r="G63" s="7">
        <v>37366</v>
      </c>
      <c r="H63" s="7">
        <v>14353</v>
      </c>
      <c r="I63" s="7">
        <v>4993</v>
      </c>
      <c r="J63" s="7">
        <v>9506</v>
      </c>
      <c r="K63" s="7">
        <v>4590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7">
        <v>33442</v>
      </c>
      <c r="U63" s="7">
        <v>3924</v>
      </c>
      <c r="V63" s="7">
        <v>36332</v>
      </c>
      <c r="W63" s="25" t="str">
        <f>TEXT(H60,"#,##0")&amp;CHAR(10)&amp;"("&amp;TEXT((ROUND((H60/(SUM(H60:L60))*100),2)),"0.00")&amp;"%)"</f>
        <v>16,200
(43.26%)</v>
      </c>
      <c r="X63" s="25" t="str">
        <f>TEXT(I60,"#,##0")&amp;CHAR(10)&amp;"("&amp;TEXT((ROUND((I60/(SUM(H60:L60))*100),2)),"0.00")&amp;"%)"</f>
        <v>5,641
(15.06%)</v>
      </c>
      <c r="Y63" s="25" t="str">
        <f>TEXT(J60,"#,##0")&amp;CHAR(10)&amp;"("&amp;TEXT((ROUND((J60/(SUM(H60:L60))*100),2)),"0.00")&amp;"%)"</f>
        <v>10,597
(28.30%)</v>
      </c>
      <c r="Z63" s="25" t="str">
        <f>TEXT(K60,"#,##0")&amp;CHAR(10)&amp;"("&amp;TEXT((ROUND((K60/(SUM(H60:L60))*100),2)),"0.00")&amp;"%)"</f>
        <v>5,008
(13.37%)</v>
      </c>
      <c r="AA63" s="28" t="str">
        <f>TEXT(L60,"#,##0")&amp;CHAR(10)&amp;"("&amp;TEXT((ROUND((L60/(SUM(H60:L60))*100),2)),"0.00")&amp;"%)"</f>
        <v>0
(0.00%)</v>
      </c>
    </row>
    <row r="64" spans="1:27" ht="17.25" thickBot="1">
      <c r="A64" s="2" t="s">
        <v>0</v>
      </c>
      <c r="B64" s="2" t="s">
        <v>1</v>
      </c>
      <c r="C64" s="2" t="s">
        <v>59</v>
      </c>
      <c r="D64" s="2" t="s">
        <v>19</v>
      </c>
      <c r="E64" s="2" t="s">
        <v>11</v>
      </c>
      <c r="F64" s="7">
        <v>10306</v>
      </c>
      <c r="G64" s="7">
        <v>10286</v>
      </c>
      <c r="H64" s="7">
        <v>4083</v>
      </c>
      <c r="I64" s="7">
        <v>1374</v>
      </c>
      <c r="J64" s="7">
        <v>2599</v>
      </c>
      <c r="K64" s="7">
        <v>1241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7">
        <v>9297</v>
      </c>
      <c r="U64" s="8">
        <v>989</v>
      </c>
      <c r="V64" s="8">
        <v>20</v>
      </c>
    </row>
    <row r="65" spans="1:27" ht="17.25" thickBot="1">
      <c r="A65" s="2" t="s">
        <v>0</v>
      </c>
      <c r="B65" s="2" t="s">
        <v>1</v>
      </c>
      <c r="C65" s="2" t="s">
        <v>59</v>
      </c>
      <c r="D65" s="2" t="s">
        <v>19</v>
      </c>
      <c r="E65" s="2" t="s">
        <v>12</v>
      </c>
      <c r="F65" s="7">
        <v>63392</v>
      </c>
      <c r="G65" s="7">
        <v>27080</v>
      </c>
      <c r="H65" s="7">
        <v>10270</v>
      </c>
      <c r="I65" s="7">
        <v>3619</v>
      </c>
      <c r="J65" s="7">
        <v>6907</v>
      </c>
      <c r="K65" s="7">
        <v>3349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7">
        <v>24145</v>
      </c>
      <c r="U65" s="7">
        <v>2935</v>
      </c>
      <c r="V65" s="7">
        <v>36312</v>
      </c>
      <c r="W65" s="44" t="str">
        <f>C67</f>
        <v>부천시자선거구</v>
      </c>
      <c r="X65" s="45"/>
      <c r="Y65" s="45"/>
      <c r="Z65" s="46"/>
      <c r="AA65" s="30" t="s">
        <v>138</v>
      </c>
    </row>
    <row r="66" spans="1:27" ht="17.25" thickBot="1">
      <c r="A66" s="2" t="s">
        <v>0</v>
      </c>
      <c r="B66" s="2" t="s">
        <v>1</v>
      </c>
      <c r="C66" s="2" t="s">
        <v>59</v>
      </c>
      <c r="D66" s="2" t="s">
        <v>22</v>
      </c>
      <c r="E66" s="2" t="s">
        <v>2</v>
      </c>
      <c r="F66" s="8">
        <v>0</v>
      </c>
      <c r="G66" s="8">
        <v>68</v>
      </c>
      <c r="H66" s="8">
        <v>29</v>
      </c>
      <c r="I66" s="8">
        <v>4</v>
      </c>
      <c r="J66" s="8">
        <v>16</v>
      </c>
      <c r="K66" s="8">
        <v>6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55</v>
      </c>
      <c r="U66" s="8">
        <v>13</v>
      </c>
      <c r="V66" s="8">
        <v>-68</v>
      </c>
      <c r="W66" s="40" t="str">
        <f>"투표수: "&amp;TEXT((SUM(H68:L68)+U68), "#,##0")</f>
        <v>투표수: 33,323</v>
      </c>
      <c r="X66" s="42"/>
      <c r="Y66" s="18" t="str">
        <f>"유효투표수: "&amp;TEXT(SUM(H68:L68),"#,##0")</f>
        <v>유효투표수: 31,019</v>
      </c>
      <c r="Z66" s="16" t="str">
        <f>"무효투표수: "&amp;TEXT(U68, "#,##0")</f>
        <v>무효투표수: 2,304</v>
      </c>
      <c r="AA66" s="47" t="s">
        <v>141</v>
      </c>
    </row>
    <row r="67" spans="1:27" ht="41.25" thickBot="1">
      <c r="A67" s="2" t="s">
        <v>0</v>
      </c>
      <c r="B67" s="2" t="s">
        <v>1</v>
      </c>
      <c r="C67" s="2" t="s">
        <v>64</v>
      </c>
      <c r="D67" s="2" t="s">
        <v>2</v>
      </c>
      <c r="E67" s="2" t="s">
        <v>2</v>
      </c>
      <c r="F67" s="2" t="s">
        <v>2</v>
      </c>
      <c r="G67" s="2" t="s">
        <v>2</v>
      </c>
      <c r="H67" s="3" t="s">
        <v>65</v>
      </c>
      <c r="I67" s="3" t="s">
        <v>66</v>
      </c>
      <c r="J67" s="3" t="s">
        <v>67</v>
      </c>
      <c r="K67" s="3" t="s">
        <v>68</v>
      </c>
      <c r="L67" s="3" t="s">
        <v>69</v>
      </c>
      <c r="M67" s="3" t="s">
        <v>5</v>
      </c>
      <c r="N67" s="3" t="s">
        <v>5</v>
      </c>
      <c r="O67" s="3" t="s">
        <v>5</v>
      </c>
      <c r="P67" s="3" t="s">
        <v>5</v>
      </c>
      <c r="Q67" s="3" t="s">
        <v>5</v>
      </c>
      <c r="R67" s="3" t="s">
        <v>5</v>
      </c>
      <c r="S67" s="3" t="s">
        <v>5</v>
      </c>
      <c r="T67" s="2" t="s">
        <v>2</v>
      </c>
      <c r="U67" s="2" t="s">
        <v>2</v>
      </c>
      <c r="V67" s="2" t="s">
        <v>2</v>
      </c>
      <c r="W67" s="17" t="str">
        <f>"투표율: "&amp;TEXT(((G68/F68)*100), "0.00")&amp;"%"</f>
        <v>투표율: 45.51%</v>
      </c>
      <c r="X67" s="12" t="str">
        <f>"기권율: "&amp;TEXT(((V68/F68)*100), "0.00")&amp;"%"</f>
        <v>기권율: 54.49%</v>
      </c>
      <c r="Y67" s="17" t="str">
        <f>"유효투표율: "&amp;TEXT(((T68/G68)*100), "0.00")&amp;"%"</f>
        <v>유효투표율: 93.09%</v>
      </c>
      <c r="Z67" s="12" t="str">
        <f>"무효투표율: "&amp;TEXT(((U68/G68)*100), "0.00")&amp;"%"</f>
        <v>무효투표율: 6.91%</v>
      </c>
      <c r="AA67" s="48"/>
    </row>
    <row r="68" spans="1:27" ht="17.25" thickBot="1">
      <c r="A68" s="2" t="s">
        <v>0</v>
      </c>
      <c r="B68" s="2" t="s">
        <v>1</v>
      </c>
      <c r="C68" s="2" t="s">
        <v>64</v>
      </c>
      <c r="D68" s="2" t="s">
        <v>6</v>
      </c>
      <c r="E68" s="2" t="s">
        <v>2</v>
      </c>
      <c r="F68" s="7">
        <v>73228</v>
      </c>
      <c r="G68" s="7">
        <v>33323</v>
      </c>
      <c r="H68" s="7">
        <v>11898</v>
      </c>
      <c r="I68" s="7">
        <v>4799</v>
      </c>
      <c r="J68" s="7">
        <v>8380</v>
      </c>
      <c r="K68" s="7">
        <v>4465</v>
      </c>
      <c r="L68" s="7">
        <v>1477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7">
        <v>31019</v>
      </c>
      <c r="U68" s="7">
        <v>2304</v>
      </c>
      <c r="V68" s="7">
        <v>39905</v>
      </c>
      <c r="W68" s="40" t="s">
        <v>136</v>
      </c>
      <c r="X68" s="41"/>
      <c r="Y68" s="41"/>
      <c r="Z68" s="41"/>
      <c r="AA68" s="42"/>
    </row>
    <row r="69" spans="1:27">
      <c r="A69" s="2" t="s">
        <v>0</v>
      </c>
      <c r="B69" s="2" t="s">
        <v>1</v>
      </c>
      <c r="C69" s="2" t="s">
        <v>64</v>
      </c>
      <c r="D69" s="2" t="s">
        <v>7</v>
      </c>
      <c r="E69" s="2" t="s">
        <v>2</v>
      </c>
      <c r="F69" s="8">
        <v>78</v>
      </c>
      <c r="G69" s="8">
        <v>74</v>
      </c>
      <c r="H69" s="8">
        <v>27</v>
      </c>
      <c r="I69" s="8">
        <v>8</v>
      </c>
      <c r="J69" s="8">
        <v>25</v>
      </c>
      <c r="K69" s="8">
        <v>4</v>
      </c>
      <c r="L69" s="8">
        <v>2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66</v>
      </c>
      <c r="U69" s="8">
        <v>8</v>
      </c>
      <c r="V69" s="8">
        <v>4</v>
      </c>
      <c r="W69" s="23" t="s">
        <v>137</v>
      </c>
      <c r="X69" s="23" t="s">
        <v>119</v>
      </c>
      <c r="Y69" s="23" t="s">
        <v>120</v>
      </c>
      <c r="Z69" s="23" t="s">
        <v>121</v>
      </c>
      <c r="AA69" s="26" t="s">
        <v>122</v>
      </c>
    </row>
    <row r="70" spans="1:27">
      <c r="A70" s="2" t="s">
        <v>0</v>
      </c>
      <c r="B70" s="2" t="s">
        <v>1</v>
      </c>
      <c r="C70" s="2" t="s">
        <v>64</v>
      </c>
      <c r="D70" s="2" t="s">
        <v>8</v>
      </c>
      <c r="E70" s="2" t="s">
        <v>2</v>
      </c>
      <c r="F70" s="7">
        <v>3425</v>
      </c>
      <c r="G70" s="7">
        <v>3421</v>
      </c>
      <c r="H70" s="7">
        <v>1304</v>
      </c>
      <c r="I70" s="8">
        <v>520</v>
      </c>
      <c r="J70" s="8">
        <v>877</v>
      </c>
      <c r="K70" s="8">
        <v>371</v>
      </c>
      <c r="L70" s="8">
        <v>145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7">
        <v>3217</v>
      </c>
      <c r="U70" s="8">
        <v>204</v>
      </c>
      <c r="V70" s="8">
        <v>4</v>
      </c>
      <c r="W70" s="24" t="str">
        <f>H67</f>
        <v>더불어민주당
윤단비</v>
      </c>
      <c r="X70" s="24" t="str">
        <f t="shared" ref="X70:AA70" si="8">I67</f>
        <v>더불어민주당
최은경</v>
      </c>
      <c r="Y70" s="24" t="str">
        <f t="shared" si="8"/>
        <v>국민의힘
이학환</v>
      </c>
      <c r="Z70" s="24" t="str">
        <f t="shared" si="8"/>
        <v>국민의힘
노근호</v>
      </c>
      <c r="AA70" s="27" t="str">
        <f t="shared" si="8"/>
        <v>정의당
김민정</v>
      </c>
    </row>
    <row r="71" spans="1:27" ht="17.25" thickBot="1">
      <c r="A71" s="2" t="s">
        <v>0</v>
      </c>
      <c r="B71" s="2" t="s">
        <v>1</v>
      </c>
      <c r="C71" s="2" t="s">
        <v>64</v>
      </c>
      <c r="D71" s="2" t="s">
        <v>20</v>
      </c>
      <c r="E71" s="2" t="s">
        <v>10</v>
      </c>
      <c r="F71" s="7">
        <v>69725</v>
      </c>
      <c r="G71" s="7">
        <v>29797</v>
      </c>
      <c r="H71" s="7">
        <v>10559</v>
      </c>
      <c r="I71" s="7">
        <v>4268</v>
      </c>
      <c r="J71" s="7">
        <v>7473</v>
      </c>
      <c r="K71" s="7">
        <v>4085</v>
      </c>
      <c r="L71" s="7">
        <v>1326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7">
        <v>27711</v>
      </c>
      <c r="U71" s="7">
        <v>2086</v>
      </c>
      <c r="V71" s="7">
        <v>39928</v>
      </c>
      <c r="W71" s="25" t="str">
        <f>TEXT(H68,"#,##0")&amp;CHAR(10)&amp;"("&amp;TEXT((ROUND((H68/(SUM(H68:L68))*100),2)),"0.00")&amp;"%)"</f>
        <v>11,898
(38.36%)</v>
      </c>
      <c r="X71" s="25" t="str">
        <f>TEXT(I68,"#,##0")&amp;CHAR(10)&amp;"("&amp;TEXT((ROUND((I68/(SUM(H68:L68))*100),2)),"0.00")&amp;"%)"</f>
        <v>4,799
(15.47%)</v>
      </c>
      <c r="Y71" s="25" t="str">
        <f>TEXT(J68,"#,##0")&amp;CHAR(10)&amp;"("&amp;TEXT((ROUND((J68/(SUM(H68:L68))*100),2)),"0.00")&amp;"%)"</f>
        <v>8,380
(27.02%)</v>
      </c>
      <c r="Z71" s="25" t="str">
        <f>TEXT(K68,"#,##0")&amp;CHAR(10)&amp;"("&amp;TEXT((ROUND((K68/(SUM(H68:L68))*100),2)),"0.00")&amp;"%)"</f>
        <v>4,465
(14.39%)</v>
      </c>
      <c r="AA71" s="28" t="str">
        <f>TEXT(L68,"#,##0")&amp;CHAR(10)&amp;"("&amp;TEXT((ROUND((L68/(SUM(H68:L68))*100),2)),"0.00")&amp;"%)"</f>
        <v>1,477
(4.76%)</v>
      </c>
    </row>
    <row r="72" spans="1:27" ht="17.25" thickBot="1">
      <c r="A72" s="2" t="s">
        <v>0</v>
      </c>
      <c r="B72" s="2" t="s">
        <v>1</v>
      </c>
      <c r="C72" s="2" t="s">
        <v>64</v>
      </c>
      <c r="D72" s="2" t="s">
        <v>20</v>
      </c>
      <c r="E72" s="2" t="s">
        <v>11</v>
      </c>
      <c r="F72" s="7">
        <v>9420</v>
      </c>
      <c r="G72" s="7">
        <v>9405</v>
      </c>
      <c r="H72" s="7">
        <v>3443</v>
      </c>
      <c r="I72" s="7">
        <v>1410</v>
      </c>
      <c r="J72" s="7">
        <v>2193</v>
      </c>
      <c r="K72" s="7">
        <v>1269</v>
      </c>
      <c r="L72" s="8">
        <v>408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7">
        <v>8723</v>
      </c>
      <c r="U72" s="8">
        <v>682</v>
      </c>
      <c r="V72" s="8">
        <v>15</v>
      </c>
    </row>
    <row r="73" spans="1:27" ht="17.25" thickBot="1">
      <c r="A73" s="2" t="s">
        <v>0</v>
      </c>
      <c r="B73" s="2" t="s">
        <v>1</v>
      </c>
      <c r="C73" s="2" t="s">
        <v>64</v>
      </c>
      <c r="D73" s="2" t="s">
        <v>20</v>
      </c>
      <c r="E73" s="2" t="s">
        <v>12</v>
      </c>
      <c r="F73" s="7">
        <v>60305</v>
      </c>
      <c r="G73" s="7">
        <v>20392</v>
      </c>
      <c r="H73" s="7">
        <v>7116</v>
      </c>
      <c r="I73" s="7">
        <v>2858</v>
      </c>
      <c r="J73" s="7">
        <v>5280</v>
      </c>
      <c r="K73" s="7">
        <v>2816</v>
      </c>
      <c r="L73" s="8">
        <v>918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7">
        <v>18988</v>
      </c>
      <c r="U73" s="7">
        <v>1404</v>
      </c>
      <c r="V73" s="7">
        <v>39913</v>
      </c>
      <c r="W73" s="44" t="str">
        <f>C75</f>
        <v>부천시차선거구</v>
      </c>
      <c r="X73" s="45"/>
      <c r="Y73" s="45"/>
      <c r="Z73" s="46"/>
      <c r="AA73" s="30" t="s">
        <v>138</v>
      </c>
    </row>
    <row r="74" spans="1:27" ht="17.25" thickBot="1">
      <c r="A74" s="2" t="s">
        <v>0</v>
      </c>
      <c r="B74" s="2" t="s">
        <v>1</v>
      </c>
      <c r="C74" s="2" t="s">
        <v>64</v>
      </c>
      <c r="D74" s="2" t="s">
        <v>22</v>
      </c>
      <c r="E74" s="2" t="s">
        <v>2</v>
      </c>
      <c r="F74" s="8">
        <v>0</v>
      </c>
      <c r="G74" s="8">
        <v>31</v>
      </c>
      <c r="H74" s="8">
        <v>8</v>
      </c>
      <c r="I74" s="8">
        <v>3</v>
      </c>
      <c r="J74" s="8">
        <v>5</v>
      </c>
      <c r="K74" s="8">
        <v>5</v>
      </c>
      <c r="L74" s="8">
        <v>4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25</v>
      </c>
      <c r="U74" s="8">
        <v>6</v>
      </c>
      <c r="V74" s="8">
        <v>-31</v>
      </c>
      <c r="W74" s="40" t="str">
        <f>"투표수: "&amp;TEXT((SUM(H76:L76)+U76), "#,##0")</f>
        <v>투표수: 32,276</v>
      </c>
      <c r="X74" s="42"/>
      <c r="Y74" s="18" t="str">
        <f>"유효투표수: "&amp;TEXT(SUM(H76:L76),"#,##0")</f>
        <v>유효투표수: 30,661</v>
      </c>
      <c r="Z74" s="16" t="str">
        <f>"무효투표수: "&amp;TEXT(U76, "#,##0")</f>
        <v>무효투표수: 1,615</v>
      </c>
      <c r="AA74" s="47" t="s">
        <v>141</v>
      </c>
    </row>
    <row r="75" spans="1:27" ht="41.25" thickBot="1">
      <c r="A75" s="2" t="s">
        <v>0</v>
      </c>
      <c r="B75" s="2" t="s">
        <v>1</v>
      </c>
      <c r="C75" s="2" t="s">
        <v>70</v>
      </c>
      <c r="D75" s="2" t="s">
        <v>2</v>
      </c>
      <c r="E75" s="2" t="s">
        <v>2</v>
      </c>
      <c r="F75" s="2" t="s">
        <v>2</v>
      </c>
      <c r="G75" s="2" t="s">
        <v>2</v>
      </c>
      <c r="H75" s="3" t="s">
        <v>71</v>
      </c>
      <c r="I75" s="3" t="s">
        <v>72</v>
      </c>
      <c r="J75" s="3" t="s">
        <v>73</v>
      </c>
      <c r="K75" s="3" t="s">
        <v>5</v>
      </c>
      <c r="L75" s="3" t="s">
        <v>5</v>
      </c>
      <c r="M75" s="3" t="s">
        <v>5</v>
      </c>
      <c r="N75" s="3" t="s">
        <v>5</v>
      </c>
      <c r="O75" s="3" t="s">
        <v>5</v>
      </c>
      <c r="P75" s="3" t="s">
        <v>5</v>
      </c>
      <c r="Q75" s="3" t="s">
        <v>5</v>
      </c>
      <c r="R75" s="3" t="s">
        <v>5</v>
      </c>
      <c r="S75" s="3" t="s">
        <v>5</v>
      </c>
      <c r="T75" s="2" t="s">
        <v>2</v>
      </c>
      <c r="U75" s="2" t="s">
        <v>2</v>
      </c>
      <c r="V75" s="2" t="s">
        <v>2</v>
      </c>
      <c r="W75" s="17" t="str">
        <f>"투표율: "&amp;TEXT(((G76/F76)*100), "0.00")&amp;"%"</f>
        <v>투표율: 44.14%</v>
      </c>
      <c r="X75" s="12" t="str">
        <f>"기권율: "&amp;TEXT(((V76/F76)*100), "0.00")&amp;"%"</f>
        <v>기권율: 55.86%</v>
      </c>
      <c r="Y75" s="17" t="str">
        <f>"유효투표율: "&amp;TEXT(((T76/G76)*100), "0.00")&amp;"%"</f>
        <v>유효투표율: 95.00%</v>
      </c>
      <c r="Z75" s="12" t="str">
        <f>"무효투표율: "&amp;TEXT(((U76/G76)*100), "0.00")&amp;"%"</f>
        <v>무효투표율: 5.00%</v>
      </c>
      <c r="AA75" s="48"/>
    </row>
    <row r="76" spans="1:27" ht="17.25" thickBot="1">
      <c r="A76" s="2" t="s">
        <v>0</v>
      </c>
      <c r="B76" s="2" t="s">
        <v>1</v>
      </c>
      <c r="C76" s="2" t="s">
        <v>70</v>
      </c>
      <c r="D76" s="2" t="s">
        <v>6</v>
      </c>
      <c r="E76" s="2" t="s">
        <v>2</v>
      </c>
      <c r="F76" s="7">
        <v>73114</v>
      </c>
      <c r="G76" s="7">
        <v>32276</v>
      </c>
      <c r="H76" s="7">
        <v>15716</v>
      </c>
      <c r="I76" s="7">
        <v>10008</v>
      </c>
      <c r="J76" s="7">
        <v>4937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7">
        <v>30661</v>
      </c>
      <c r="U76" s="7">
        <v>1615</v>
      </c>
      <c r="V76" s="7">
        <v>40838</v>
      </c>
      <c r="W76" s="40" t="s">
        <v>136</v>
      </c>
      <c r="X76" s="41"/>
      <c r="Y76" s="41"/>
      <c r="Z76" s="41"/>
      <c r="AA76" s="42"/>
    </row>
    <row r="77" spans="1:27">
      <c r="A77" s="2" t="s">
        <v>0</v>
      </c>
      <c r="B77" s="2" t="s">
        <v>1</v>
      </c>
      <c r="C77" s="2" t="s">
        <v>70</v>
      </c>
      <c r="D77" s="2" t="s">
        <v>7</v>
      </c>
      <c r="E77" s="2" t="s">
        <v>2</v>
      </c>
      <c r="F77" s="8">
        <v>98</v>
      </c>
      <c r="G77" s="8">
        <v>91</v>
      </c>
      <c r="H77" s="8">
        <v>41</v>
      </c>
      <c r="I77" s="8">
        <v>23</v>
      </c>
      <c r="J77" s="8">
        <v>18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82</v>
      </c>
      <c r="U77" s="8">
        <v>9</v>
      </c>
      <c r="V77" s="8">
        <v>7</v>
      </c>
      <c r="W77" s="23" t="s">
        <v>137</v>
      </c>
      <c r="X77" s="23" t="s">
        <v>119</v>
      </c>
      <c r="Y77" s="23" t="s">
        <v>120</v>
      </c>
      <c r="Z77" s="23" t="s">
        <v>121</v>
      </c>
      <c r="AA77" s="26" t="s">
        <v>122</v>
      </c>
    </row>
    <row r="78" spans="1:27">
      <c r="A78" s="2" t="s">
        <v>0</v>
      </c>
      <c r="B78" s="2" t="s">
        <v>1</v>
      </c>
      <c r="C78" s="2" t="s">
        <v>70</v>
      </c>
      <c r="D78" s="2" t="s">
        <v>8</v>
      </c>
      <c r="E78" s="2" t="s">
        <v>2</v>
      </c>
      <c r="F78" s="7">
        <v>3964</v>
      </c>
      <c r="G78" s="7">
        <v>3953</v>
      </c>
      <c r="H78" s="7">
        <v>2174</v>
      </c>
      <c r="I78" s="7">
        <v>1185</v>
      </c>
      <c r="J78" s="8">
        <v>479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7">
        <v>3838</v>
      </c>
      <c r="U78" s="8">
        <v>115</v>
      </c>
      <c r="V78" s="8">
        <v>11</v>
      </c>
      <c r="W78" s="24" t="str">
        <f>H75</f>
        <v>더불어민주당
손준기</v>
      </c>
      <c r="X78" s="24" t="str">
        <f t="shared" ref="X78:AA78" si="9">I75</f>
        <v>국민의힘
구점자</v>
      </c>
      <c r="Y78" s="24" t="str">
        <f t="shared" si="9"/>
        <v>국민의힘
이필구</v>
      </c>
      <c r="Z78" s="24" t="str">
        <f t="shared" si="9"/>
        <v xml:space="preserve">
</v>
      </c>
      <c r="AA78" s="27" t="str">
        <f t="shared" si="9"/>
        <v xml:space="preserve">
</v>
      </c>
    </row>
    <row r="79" spans="1:27" ht="17.25" thickBot="1">
      <c r="A79" s="2" t="s">
        <v>0</v>
      </c>
      <c r="B79" s="2" t="s">
        <v>1</v>
      </c>
      <c r="C79" s="2" t="s">
        <v>70</v>
      </c>
      <c r="D79" s="2" t="s">
        <v>21</v>
      </c>
      <c r="E79" s="2" t="s">
        <v>10</v>
      </c>
      <c r="F79" s="7">
        <v>69052</v>
      </c>
      <c r="G79" s="7">
        <v>28169</v>
      </c>
      <c r="H79" s="7">
        <v>13484</v>
      </c>
      <c r="I79" s="7">
        <v>8773</v>
      </c>
      <c r="J79" s="7">
        <v>4433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7">
        <v>26690</v>
      </c>
      <c r="U79" s="7">
        <v>1479</v>
      </c>
      <c r="V79" s="7">
        <v>40883</v>
      </c>
      <c r="W79" s="25" t="str">
        <f>TEXT(H76,"#,##0")&amp;CHAR(10)&amp;"("&amp;TEXT((ROUND((H76/(SUM(H76:L76))*100),2)),"0.00")&amp;"%)"</f>
        <v>15,716
(51.26%)</v>
      </c>
      <c r="X79" s="25" t="str">
        <f>TEXT(I76,"#,##0")&amp;CHAR(10)&amp;"("&amp;TEXT((ROUND((I76/(SUM(H76:L76))*100),2)),"0.00")&amp;"%)"</f>
        <v>10,008
(32.64%)</v>
      </c>
      <c r="Y79" s="25" t="str">
        <f>TEXT(J76,"#,##0")&amp;CHAR(10)&amp;"("&amp;TEXT((ROUND((J76/(SUM(H76:L76))*100),2)),"0.00")&amp;"%)"</f>
        <v>4,937
(16.10%)</v>
      </c>
      <c r="Z79" s="25" t="str">
        <f>TEXT(K76,"#,##0")&amp;CHAR(10)&amp;"("&amp;TEXT((ROUND((K76/(SUM(H76:L76))*100),2)),"0.00")&amp;"%)"</f>
        <v>0
(0.00%)</v>
      </c>
      <c r="AA79" s="28" t="str">
        <f>TEXT(L76,"#,##0")&amp;CHAR(10)&amp;"("&amp;TEXT((ROUND((L76/(SUM(H76:L76))*100),2)),"0.00")&amp;"%)"</f>
        <v>0
(0.00%)</v>
      </c>
    </row>
    <row r="80" spans="1:27">
      <c r="A80" s="2" t="s">
        <v>0</v>
      </c>
      <c r="B80" s="2" t="s">
        <v>1</v>
      </c>
      <c r="C80" s="2" t="s">
        <v>70</v>
      </c>
      <c r="D80" s="2" t="s">
        <v>21</v>
      </c>
      <c r="E80" s="2" t="s">
        <v>11</v>
      </c>
      <c r="F80" s="7">
        <v>7478</v>
      </c>
      <c r="G80" s="7">
        <v>7464</v>
      </c>
      <c r="H80" s="7">
        <v>3761</v>
      </c>
      <c r="I80" s="7">
        <v>2192</v>
      </c>
      <c r="J80" s="7">
        <v>1252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7">
        <v>7205</v>
      </c>
      <c r="U80" s="8">
        <v>259</v>
      </c>
      <c r="V80" s="8">
        <v>14</v>
      </c>
    </row>
    <row r="81" spans="1:25">
      <c r="A81" s="2" t="s">
        <v>0</v>
      </c>
      <c r="B81" s="2" t="s">
        <v>1</v>
      </c>
      <c r="C81" s="2" t="s">
        <v>70</v>
      </c>
      <c r="D81" s="2" t="s">
        <v>21</v>
      </c>
      <c r="E81" s="2" t="s">
        <v>12</v>
      </c>
      <c r="F81" s="7">
        <v>61574</v>
      </c>
      <c r="G81" s="7">
        <v>20705</v>
      </c>
      <c r="H81" s="7">
        <v>9723</v>
      </c>
      <c r="I81" s="7">
        <v>6581</v>
      </c>
      <c r="J81" s="7">
        <v>3181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7">
        <v>19485</v>
      </c>
      <c r="U81" s="7">
        <v>1220</v>
      </c>
      <c r="V81" s="7">
        <v>40869</v>
      </c>
    </row>
    <row r="82" spans="1:25" ht="17.25" thickBot="1">
      <c r="A82" s="2" t="s">
        <v>0</v>
      </c>
      <c r="B82" s="2" t="s">
        <v>1</v>
      </c>
      <c r="C82" s="2" t="s">
        <v>70</v>
      </c>
      <c r="D82" s="2" t="s">
        <v>22</v>
      </c>
      <c r="E82" s="2" t="s">
        <v>2</v>
      </c>
      <c r="F82" s="8">
        <v>0</v>
      </c>
      <c r="G82" s="8">
        <v>63</v>
      </c>
      <c r="H82" s="8">
        <v>17</v>
      </c>
      <c r="I82" s="8">
        <v>27</v>
      </c>
      <c r="J82" s="8">
        <v>7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51</v>
      </c>
      <c r="U82" s="8">
        <v>12</v>
      </c>
      <c r="V82" s="8">
        <v>-63</v>
      </c>
    </row>
    <row r="83" spans="1:25" ht="17.25" thickBot="1">
      <c r="W83" s="13" t="s">
        <v>143</v>
      </c>
      <c r="X83" s="14" t="s">
        <v>145</v>
      </c>
      <c r="Y83" s="19" t="s">
        <v>147</v>
      </c>
    </row>
    <row r="84" spans="1:25" ht="17.25" thickBot="1">
      <c r="W84" s="31" t="str">
        <f>TEXT(((U76+U68)/(T76+T68))*100, "0.00")&amp;"%"</f>
        <v>6.35%</v>
      </c>
      <c r="X84" s="32" t="str">
        <f>TEXT(((U36+U28+U20)/(T36+T28+T20))*100, "0.00")&amp;"%"</f>
        <v>7.20%</v>
      </c>
      <c r="Y84" s="33" t="str">
        <f>TEXT(((U60+U52+U44)/(T60+T52+T44))*100, "0.00")&amp;"%"</f>
        <v>6.33%</v>
      </c>
    </row>
  </sheetData>
  <mergeCells count="51">
    <mergeCell ref="W76:AA76"/>
    <mergeCell ref="W66:X66"/>
    <mergeCell ref="AA66:AA67"/>
    <mergeCell ref="W68:AA68"/>
    <mergeCell ref="W73:Z73"/>
    <mergeCell ref="W74:X74"/>
    <mergeCell ref="AA74:AA75"/>
    <mergeCell ref="W65:Z65"/>
    <mergeCell ref="W42:X42"/>
    <mergeCell ref="AA42:AA43"/>
    <mergeCell ref="W44:AA44"/>
    <mergeCell ref="W49:Z49"/>
    <mergeCell ref="W50:X50"/>
    <mergeCell ref="AA50:AA51"/>
    <mergeCell ref="W52:AA52"/>
    <mergeCell ref="W57:Z57"/>
    <mergeCell ref="W58:X58"/>
    <mergeCell ref="AA58:AA59"/>
    <mergeCell ref="W60:AA60"/>
    <mergeCell ref="W41:Z41"/>
    <mergeCell ref="W17:Z17"/>
    <mergeCell ref="W18:X18"/>
    <mergeCell ref="AA18:AA19"/>
    <mergeCell ref="W20:AA20"/>
    <mergeCell ref="W25:Z25"/>
    <mergeCell ref="W26:X26"/>
    <mergeCell ref="AA26:AA27"/>
    <mergeCell ref="W28:AA28"/>
    <mergeCell ref="W33:Z33"/>
    <mergeCell ref="W34:X34"/>
    <mergeCell ref="AA34:AA35"/>
    <mergeCell ref="W36:AA36"/>
    <mergeCell ref="W12:AA12"/>
    <mergeCell ref="G1:G2"/>
    <mergeCell ref="H1:S1"/>
    <mergeCell ref="T1:T2"/>
    <mergeCell ref="U1:U2"/>
    <mergeCell ref="V1:V2"/>
    <mergeCell ref="W1:Z1"/>
    <mergeCell ref="W2:X2"/>
    <mergeCell ref="AA2:AA3"/>
    <mergeCell ref="W4:AA4"/>
    <mergeCell ref="W9:Z9"/>
    <mergeCell ref="W10:X10"/>
    <mergeCell ref="AA10:AA1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E725-DC03-4E87-8388-1D93E6E781F2}">
  <dimension ref="A1:X44"/>
  <sheetViews>
    <sheetView topLeftCell="H16" zoomScale="55" zoomScaleNormal="55" workbookViewId="0">
      <selection activeCell="Y18" sqref="Y18"/>
    </sheetView>
  </sheetViews>
  <sheetFormatPr defaultRowHeight="16.5"/>
  <cols>
    <col min="5" max="5" width="11.375" bestFit="1" customWidth="1"/>
    <col min="8" max="8" width="11.375" bestFit="1" customWidth="1"/>
    <col min="9" max="9" width="8" bestFit="1" customWidth="1"/>
    <col min="10" max="10" width="6.375" bestFit="1" customWidth="1"/>
    <col min="15" max="15" width="14.625" bestFit="1" customWidth="1"/>
    <col min="16" max="16" width="14.625" customWidth="1"/>
    <col min="17" max="17" width="19.25" bestFit="1" customWidth="1"/>
    <col min="18" max="18" width="17.625" bestFit="1" customWidth="1"/>
    <col min="19" max="19" width="9" customWidth="1"/>
    <col min="20" max="21" width="16.125" bestFit="1" customWidth="1"/>
    <col min="22" max="22" width="14" bestFit="1" customWidth="1"/>
    <col min="23" max="24" width="15.625" bestFit="1" customWidth="1"/>
    <col min="25" max="25" width="19.125" bestFit="1" customWidth="1"/>
    <col min="26" max="26" width="17.625" bestFit="1" customWidth="1"/>
    <col min="27" max="27" width="22.75" bestFit="1" customWidth="1"/>
  </cols>
  <sheetData>
    <row r="1" spans="1:22">
      <c r="A1" s="38" t="s">
        <v>107</v>
      </c>
      <c r="B1" s="38" t="s">
        <v>131</v>
      </c>
      <c r="C1" s="38" t="s">
        <v>109</v>
      </c>
      <c r="D1" s="38" t="s">
        <v>110</v>
      </c>
      <c r="E1" s="38" t="s">
        <v>111</v>
      </c>
      <c r="F1" s="38" t="s">
        <v>112</v>
      </c>
      <c r="G1" s="38" t="s">
        <v>113</v>
      </c>
      <c r="H1" s="38" t="s">
        <v>114</v>
      </c>
      <c r="I1" s="38"/>
      <c r="J1" s="38"/>
      <c r="K1" s="38"/>
      <c r="L1" s="38" t="s">
        <v>115</v>
      </c>
      <c r="M1" s="38" t="s">
        <v>116</v>
      </c>
      <c r="N1" s="38" t="s">
        <v>117</v>
      </c>
    </row>
    <row r="2" spans="1:22" ht="17.25" customHeight="1">
      <c r="A2" s="38"/>
      <c r="B2" s="38"/>
      <c r="C2" s="38"/>
      <c r="D2" s="38"/>
      <c r="E2" s="38"/>
      <c r="F2" s="38" t="s">
        <v>112</v>
      </c>
      <c r="G2" s="38" t="s">
        <v>112</v>
      </c>
      <c r="H2" s="4" t="s">
        <v>132</v>
      </c>
      <c r="I2" s="4" t="s">
        <v>133</v>
      </c>
      <c r="J2" s="4" t="s">
        <v>134</v>
      </c>
      <c r="K2" s="4" t="s">
        <v>135</v>
      </c>
      <c r="L2" s="38" t="s">
        <v>112</v>
      </c>
      <c r="M2" s="38" t="s">
        <v>112</v>
      </c>
      <c r="N2" s="38" t="s">
        <v>112</v>
      </c>
    </row>
    <row r="3" spans="1:22" ht="17.25" thickBot="1">
      <c r="A3" s="2" t="s">
        <v>0</v>
      </c>
      <c r="B3" s="2" t="s">
        <v>1</v>
      </c>
      <c r="C3" s="2" t="s">
        <v>1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74</v>
      </c>
      <c r="I3" s="2" t="s">
        <v>75</v>
      </c>
      <c r="J3" s="2" t="s">
        <v>76</v>
      </c>
      <c r="K3" s="2" t="s">
        <v>2</v>
      </c>
      <c r="L3" s="2" t="s">
        <v>2</v>
      </c>
      <c r="M3" s="2" t="s">
        <v>2</v>
      </c>
      <c r="N3" s="2" t="s">
        <v>2</v>
      </c>
      <c r="P3" s="1" t="e">
        <f>_xlfn.TEXTJOIN(CHAR(10),TRUE,#REF!,O10,O13,O16,O19,O22,O25,O28,O31,O34)</f>
        <v>#REF!</v>
      </c>
    </row>
    <row r="4" spans="1:22" ht="17.25" thickBot="1">
      <c r="A4" s="2" t="s">
        <v>0</v>
      </c>
      <c r="B4" s="2" t="s">
        <v>1</v>
      </c>
      <c r="C4" s="2" t="s">
        <v>1</v>
      </c>
      <c r="D4" s="2" t="s">
        <v>6</v>
      </c>
      <c r="E4" s="2" t="s">
        <v>2</v>
      </c>
      <c r="F4" s="7">
        <v>702974</v>
      </c>
      <c r="G4" s="7">
        <v>347411</v>
      </c>
      <c r="H4" s="7">
        <v>168109</v>
      </c>
      <c r="I4" s="7">
        <v>156068</v>
      </c>
      <c r="J4" s="7">
        <v>16281</v>
      </c>
      <c r="K4" s="8">
        <v>0</v>
      </c>
      <c r="L4" s="7">
        <v>340458</v>
      </c>
      <c r="M4" s="7">
        <v>6953</v>
      </c>
      <c r="N4" s="7">
        <v>355563</v>
      </c>
      <c r="O4" s="44" t="s">
        <v>153</v>
      </c>
      <c r="P4" s="53"/>
      <c r="Q4" s="53"/>
      <c r="R4" s="54"/>
      <c r="S4" s="30" t="s">
        <v>138</v>
      </c>
      <c r="T4" s="49" t="s">
        <v>136</v>
      </c>
      <c r="U4" s="51"/>
      <c r="V4" s="52"/>
    </row>
    <row r="5" spans="1:22" ht="17.25" thickBot="1">
      <c r="A5" s="2" t="s">
        <v>0</v>
      </c>
      <c r="B5" s="2" t="s">
        <v>1</v>
      </c>
      <c r="C5" s="2" t="s">
        <v>1</v>
      </c>
      <c r="D5" s="2" t="s">
        <v>7</v>
      </c>
      <c r="E5" s="2" t="s">
        <v>2</v>
      </c>
      <c r="F5" s="8">
        <v>888</v>
      </c>
      <c r="G5" s="8">
        <v>839</v>
      </c>
      <c r="H5" s="8">
        <v>333</v>
      </c>
      <c r="I5" s="8">
        <v>353</v>
      </c>
      <c r="J5" s="8">
        <v>37</v>
      </c>
      <c r="K5" s="8">
        <v>0</v>
      </c>
      <c r="L5" s="8">
        <v>723</v>
      </c>
      <c r="M5" s="8">
        <v>116</v>
      </c>
      <c r="N5" s="8">
        <v>49</v>
      </c>
      <c r="O5" s="40" t="str">
        <f>"투표수: "&amp;TEXT((SUM(H4:K4)+M4), "#,##0")</f>
        <v>투표수: 347,411</v>
      </c>
      <c r="P5" s="42"/>
      <c r="Q5" s="18" t="str">
        <f>"유효투표수: "&amp;TEXT(SUM(H4:K4),"#,##0")</f>
        <v>유효투표수: 340,458</v>
      </c>
      <c r="R5" s="16" t="str">
        <f>"무효투표수: "&amp;TEXT(M4, "#,##0")</f>
        <v>무효투표수: 6,953</v>
      </c>
      <c r="S5" s="47" t="s">
        <v>148</v>
      </c>
      <c r="T5" s="24" t="str">
        <f>$H$3</f>
        <v>더불어민주당</v>
      </c>
      <c r="U5" s="24" t="str">
        <f>$I$3</f>
        <v>국민의힘</v>
      </c>
      <c r="V5" s="24" t="str">
        <f>$J$3</f>
        <v>정의당</v>
      </c>
    </row>
    <row r="6" spans="1:22" ht="17.25" thickBot="1">
      <c r="A6" s="2" t="s">
        <v>0</v>
      </c>
      <c r="B6" s="2" t="s">
        <v>1</v>
      </c>
      <c r="C6" s="2" t="s">
        <v>1</v>
      </c>
      <c r="D6" s="2" t="s">
        <v>8</v>
      </c>
      <c r="E6" s="2" t="s">
        <v>2</v>
      </c>
      <c r="F6" s="7">
        <v>38580</v>
      </c>
      <c r="G6" s="7">
        <v>38460</v>
      </c>
      <c r="H6" s="7">
        <v>19968</v>
      </c>
      <c r="I6" s="7">
        <v>15989</v>
      </c>
      <c r="J6" s="7">
        <v>2020</v>
      </c>
      <c r="K6" s="8">
        <v>0</v>
      </c>
      <c r="L6" s="7">
        <v>37977</v>
      </c>
      <c r="M6" s="8">
        <v>483</v>
      </c>
      <c r="N6" s="8">
        <v>120</v>
      </c>
      <c r="O6" s="17" t="str">
        <f>"투표율: "&amp;TEXT(((G4/F4)*100), "0.00")&amp;"%"</f>
        <v>투표율: 49.42%</v>
      </c>
      <c r="P6" s="12" t="str">
        <f>"기권율: "&amp;TEXT(((N4/F4)*100), "0.00")&amp;"%"</f>
        <v>기권율: 50.58%</v>
      </c>
      <c r="Q6" s="17" t="str">
        <f>"유효투표율: "&amp;TEXT(((L4/G4)*100), "0.00")&amp;"%"</f>
        <v>유효투표율: 98.00%</v>
      </c>
      <c r="R6" s="12" t="str">
        <f>"무효투표율: "&amp;TEXT(((M4/G4)*100), "0.00")&amp;"%"</f>
        <v>무효투표율: 2.00%</v>
      </c>
      <c r="S6" s="48"/>
      <c r="T6" s="25" t="str">
        <f>TEXT(H4,"#,##0")&amp;CHAR(10)&amp;"("&amp;TEXT((ROUND((H4/(SUM(H4:K4))*100),2)),"0.00")&amp;"%)"</f>
        <v>168,109
(49.38%)</v>
      </c>
      <c r="U6" s="25" t="str">
        <f>TEXT(I4,"#,##0")&amp;CHAR(10)&amp;"("&amp;TEXT((ROUND((I4/(SUM(H4:K4))*100),2)),"0.00")&amp;"%)"</f>
        <v>156,068
(45.84%)</v>
      </c>
      <c r="V6" s="25" t="str">
        <f>TEXT(J4,"#,##0")&amp;CHAR(10)&amp;"("&amp;TEXT((ROUND((J4/(SUM(H4:K4))*100),2)),"0.00")&amp;"%)"</f>
        <v>16,281
(4.78%)</v>
      </c>
    </row>
    <row r="7" spans="1:22">
      <c r="A7" s="2" t="s">
        <v>0</v>
      </c>
      <c r="B7" s="2" t="s">
        <v>1</v>
      </c>
      <c r="C7" s="2" t="s">
        <v>1</v>
      </c>
      <c r="D7" s="2" t="s">
        <v>9</v>
      </c>
      <c r="E7" s="2" t="s">
        <v>10</v>
      </c>
      <c r="F7" s="7">
        <v>55544</v>
      </c>
      <c r="G7" s="7">
        <v>21521</v>
      </c>
      <c r="H7" s="7">
        <v>10407</v>
      </c>
      <c r="I7" s="7">
        <v>9857</v>
      </c>
      <c r="J7" s="8">
        <v>810</v>
      </c>
      <c r="K7" s="8">
        <v>0</v>
      </c>
      <c r="L7" s="7">
        <v>21074</v>
      </c>
      <c r="M7" s="8">
        <v>447</v>
      </c>
      <c r="N7" s="7">
        <v>34023</v>
      </c>
    </row>
    <row r="8" spans="1:22">
      <c r="A8" s="2" t="s">
        <v>0</v>
      </c>
      <c r="B8" s="2" t="s">
        <v>1</v>
      </c>
      <c r="C8" s="2" t="s">
        <v>1</v>
      </c>
      <c r="D8" s="2" t="s">
        <v>9</v>
      </c>
      <c r="E8" s="2" t="s">
        <v>11</v>
      </c>
      <c r="F8" s="7">
        <v>7646</v>
      </c>
      <c r="G8" s="7">
        <v>7636</v>
      </c>
      <c r="H8" s="7">
        <v>3824</v>
      </c>
      <c r="I8" s="7">
        <v>3463</v>
      </c>
      <c r="J8" s="8">
        <v>244</v>
      </c>
      <c r="K8" s="8">
        <v>0</v>
      </c>
      <c r="L8" s="7">
        <v>7531</v>
      </c>
      <c r="M8" s="8">
        <v>105</v>
      </c>
      <c r="N8" s="8">
        <v>10</v>
      </c>
    </row>
    <row r="9" spans="1:22" ht="17.25" thickBot="1">
      <c r="A9" s="2" t="s">
        <v>0</v>
      </c>
      <c r="B9" s="2" t="s">
        <v>1</v>
      </c>
      <c r="C9" s="2" t="s">
        <v>1</v>
      </c>
      <c r="D9" s="2" t="s">
        <v>9</v>
      </c>
      <c r="E9" s="2" t="s">
        <v>12</v>
      </c>
      <c r="F9" s="7">
        <v>47898</v>
      </c>
      <c r="G9" s="7">
        <v>13885</v>
      </c>
      <c r="H9" s="7">
        <v>6583</v>
      </c>
      <c r="I9" s="7">
        <v>6394</v>
      </c>
      <c r="J9" s="8">
        <v>566</v>
      </c>
      <c r="K9" s="8">
        <v>0</v>
      </c>
      <c r="L9" s="7">
        <v>13543</v>
      </c>
      <c r="M9" s="8">
        <v>342</v>
      </c>
      <c r="N9" s="7">
        <v>34013</v>
      </c>
    </row>
    <row r="10" spans="1:22" ht="17.25" thickBot="1">
      <c r="A10" s="2" t="s">
        <v>0</v>
      </c>
      <c r="B10" s="2" t="s">
        <v>1</v>
      </c>
      <c r="C10" s="2" t="s">
        <v>1</v>
      </c>
      <c r="D10" s="2" t="s">
        <v>13</v>
      </c>
      <c r="E10" s="2" t="s">
        <v>10</v>
      </c>
      <c r="F10" s="7">
        <v>75081</v>
      </c>
      <c r="G10" s="7">
        <v>33689</v>
      </c>
      <c r="H10" s="7">
        <v>16739</v>
      </c>
      <c r="I10" s="7">
        <v>14779</v>
      </c>
      <c r="J10" s="7">
        <v>1402</v>
      </c>
      <c r="K10" s="8">
        <v>0</v>
      </c>
      <c r="L10" s="7">
        <v>32920</v>
      </c>
      <c r="M10" s="8">
        <v>769</v>
      </c>
      <c r="N10" s="7">
        <v>41392</v>
      </c>
      <c r="O10" s="44" t="str">
        <f>D10</f>
        <v>부천동</v>
      </c>
      <c r="P10" s="53"/>
      <c r="Q10" s="53"/>
      <c r="R10" s="54"/>
      <c r="S10" s="30" t="s">
        <v>138</v>
      </c>
      <c r="T10" s="49" t="s">
        <v>136</v>
      </c>
      <c r="U10" s="51"/>
      <c r="V10" s="52"/>
    </row>
    <row r="11" spans="1:22" ht="17.25" thickBot="1">
      <c r="A11" s="2" t="s">
        <v>0</v>
      </c>
      <c r="B11" s="2" t="s">
        <v>1</v>
      </c>
      <c r="C11" s="2" t="s">
        <v>1</v>
      </c>
      <c r="D11" s="2" t="s">
        <v>13</v>
      </c>
      <c r="E11" s="2" t="s">
        <v>11</v>
      </c>
      <c r="F11" s="7">
        <v>11409</v>
      </c>
      <c r="G11" s="7">
        <v>11391</v>
      </c>
      <c r="H11" s="7">
        <v>6025</v>
      </c>
      <c r="I11" s="7">
        <v>4810</v>
      </c>
      <c r="J11" s="8">
        <v>435</v>
      </c>
      <c r="K11" s="8">
        <v>0</v>
      </c>
      <c r="L11" s="7">
        <v>11270</v>
      </c>
      <c r="M11" s="8">
        <v>121</v>
      </c>
      <c r="N11" s="8">
        <v>18</v>
      </c>
      <c r="O11" s="40" t="str">
        <f>"투표수: "&amp;TEXT((SUM(H10:K10)+M10), "#,##0")</f>
        <v>투표수: 33,689</v>
      </c>
      <c r="P11" s="42"/>
      <c r="Q11" s="18" t="str">
        <f>"유효투표수: "&amp;TEXT(SUM(H10:K10),"#,##0")</f>
        <v>유효투표수: 32,920</v>
      </c>
      <c r="R11" s="16" t="str">
        <f>"무효투표수: "&amp;TEXT(M10, "#,##0")</f>
        <v>무효투표수: 769</v>
      </c>
      <c r="S11" s="47" t="s">
        <v>154</v>
      </c>
      <c r="T11" s="24" t="str">
        <f>$H$3</f>
        <v>더불어민주당</v>
      </c>
      <c r="U11" s="24" t="str">
        <f>$I$3</f>
        <v>국민의힘</v>
      </c>
      <c r="V11" s="24" t="str">
        <f>$J$3</f>
        <v>정의당</v>
      </c>
    </row>
    <row r="12" spans="1:22" ht="17.25" thickBot="1">
      <c r="A12" s="2" t="s">
        <v>0</v>
      </c>
      <c r="B12" s="2" t="s">
        <v>1</v>
      </c>
      <c r="C12" s="2" t="s">
        <v>1</v>
      </c>
      <c r="D12" s="2" t="s">
        <v>13</v>
      </c>
      <c r="E12" s="2" t="s">
        <v>12</v>
      </c>
      <c r="F12" s="7">
        <v>63672</v>
      </c>
      <c r="G12" s="7">
        <v>22298</v>
      </c>
      <c r="H12" s="7">
        <v>10714</v>
      </c>
      <c r="I12" s="7">
        <v>9969</v>
      </c>
      <c r="J12" s="8">
        <v>967</v>
      </c>
      <c r="K12" s="8">
        <v>0</v>
      </c>
      <c r="L12" s="7">
        <v>21650</v>
      </c>
      <c r="M12" s="8">
        <v>648</v>
      </c>
      <c r="N12" s="7">
        <v>41374</v>
      </c>
      <c r="O12" s="17" t="str">
        <f>"투표율: "&amp;TEXT(((G10/F10)*100), "0.00")&amp;"%"</f>
        <v>투표율: 44.87%</v>
      </c>
      <c r="P12" s="12" t="str">
        <f>"기권율: "&amp;TEXT(((N10/F10)*100), "0.00")&amp;"%"</f>
        <v>기권율: 55.13%</v>
      </c>
      <c r="Q12" s="17" t="str">
        <f>"유효투표율: "&amp;TEXT(((L10/G10)*100), "0.00")&amp;"%"</f>
        <v>유효투표율: 97.72%</v>
      </c>
      <c r="R12" s="12" t="str">
        <f>"무효투표율: "&amp;TEXT(((M10/G10)*100), "0.00")&amp;"%"</f>
        <v>무효투표율: 2.28%</v>
      </c>
      <c r="S12" s="48"/>
      <c r="T12" s="25" t="str">
        <f>TEXT(H10,"#,##0")&amp;CHAR(10)&amp;"("&amp;TEXT((ROUND((H10/(SUM(H10:K10))*100),2)),"0.00")&amp;"%)"</f>
        <v>16,739
(50.85%)</v>
      </c>
      <c r="U12" s="25" t="str">
        <f>TEXT(I10,"#,##0")&amp;CHAR(10)&amp;"("&amp;TEXT((ROUND((I10/(SUM(H10:K10))*100),2)),"0.00")&amp;"%)"</f>
        <v>14,779
(44.89%)</v>
      </c>
      <c r="V12" s="25" t="str">
        <f>TEXT(J10,"#,##0")&amp;CHAR(10)&amp;"("&amp;TEXT((ROUND((J10/(SUM(H10:K10))*100),2)),"0.00")&amp;"%)"</f>
        <v>1,402
(4.26%)</v>
      </c>
    </row>
    <row r="13" spans="1:22" ht="17.25" thickBot="1">
      <c r="A13" s="2" t="s">
        <v>0</v>
      </c>
      <c r="B13" s="2" t="s">
        <v>1</v>
      </c>
      <c r="C13" s="2" t="s">
        <v>1</v>
      </c>
      <c r="D13" s="2" t="s">
        <v>14</v>
      </c>
      <c r="E13" s="2" t="s">
        <v>10</v>
      </c>
      <c r="F13" s="7">
        <v>33255</v>
      </c>
      <c r="G13" s="7">
        <v>15964</v>
      </c>
      <c r="H13" s="7">
        <v>7149</v>
      </c>
      <c r="I13" s="7">
        <v>7798</v>
      </c>
      <c r="J13" s="8">
        <v>721</v>
      </c>
      <c r="K13" s="8">
        <v>0</v>
      </c>
      <c r="L13" s="7">
        <v>15668</v>
      </c>
      <c r="M13" s="8">
        <v>296</v>
      </c>
      <c r="N13" s="7">
        <v>17291</v>
      </c>
      <c r="O13" s="44" t="str">
        <f>D13</f>
        <v>중동</v>
      </c>
      <c r="P13" s="53"/>
      <c r="Q13" s="53"/>
      <c r="R13" s="54"/>
      <c r="S13" s="30" t="s">
        <v>138</v>
      </c>
      <c r="T13" s="49" t="s">
        <v>136</v>
      </c>
      <c r="U13" s="51"/>
      <c r="V13" s="52"/>
    </row>
    <row r="14" spans="1:22" ht="17.25" thickBot="1">
      <c r="A14" s="2" t="s">
        <v>0</v>
      </c>
      <c r="B14" s="2" t="s">
        <v>1</v>
      </c>
      <c r="C14" s="2" t="s">
        <v>1</v>
      </c>
      <c r="D14" s="2" t="s">
        <v>14</v>
      </c>
      <c r="E14" s="2" t="s">
        <v>11</v>
      </c>
      <c r="F14" s="7">
        <v>5125</v>
      </c>
      <c r="G14" s="7">
        <v>5107</v>
      </c>
      <c r="H14" s="7">
        <v>2366</v>
      </c>
      <c r="I14" s="7">
        <v>2486</v>
      </c>
      <c r="J14" s="8">
        <v>195</v>
      </c>
      <c r="K14" s="8">
        <v>0</v>
      </c>
      <c r="L14" s="7">
        <v>5047</v>
      </c>
      <c r="M14" s="8">
        <v>60</v>
      </c>
      <c r="N14" s="8">
        <v>18</v>
      </c>
      <c r="O14" s="40" t="str">
        <f>"투표수: "&amp;TEXT((SUM(H13:K13)+M13), "#,##0")</f>
        <v>투표수: 15,964</v>
      </c>
      <c r="P14" s="42"/>
      <c r="Q14" s="18" t="str">
        <f>"유효투표수: "&amp;TEXT(SUM(H13:K13),"#,##0")</f>
        <v>유효투표수: 15,668</v>
      </c>
      <c r="R14" s="16" t="str">
        <f>"무효투표수: "&amp;TEXT(M13, "#,##0")</f>
        <v>무효투표수: 296</v>
      </c>
      <c r="S14" s="47" t="s">
        <v>139</v>
      </c>
      <c r="T14" s="24" t="str">
        <f>$H$3</f>
        <v>더불어민주당</v>
      </c>
      <c r="U14" s="24" t="str">
        <f>$I$3</f>
        <v>국민의힘</v>
      </c>
      <c r="V14" s="24" t="str">
        <f>$J$3</f>
        <v>정의당</v>
      </c>
    </row>
    <row r="15" spans="1:22" ht="17.25" thickBot="1">
      <c r="A15" s="2" t="s">
        <v>0</v>
      </c>
      <c r="B15" s="2" t="s">
        <v>1</v>
      </c>
      <c r="C15" s="2" t="s">
        <v>1</v>
      </c>
      <c r="D15" s="2" t="s">
        <v>14</v>
      </c>
      <c r="E15" s="2" t="s">
        <v>12</v>
      </c>
      <c r="F15" s="7">
        <v>28130</v>
      </c>
      <c r="G15" s="7">
        <v>10857</v>
      </c>
      <c r="H15" s="7">
        <v>4783</v>
      </c>
      <c r="I15" s="7">
        <v>5312</v>
      </c>
      <c r="J15" s="8">
        <v>526</v>
      </c>
      <c r="K15" s="8">
        <v>0</v>
      </c>
      <c r="L15" s="7">
        <v>10621</v>
      </c>
      <c r="M15" s="8">
        <v>236</v>
      </c>
      <c r="N15" s="7">
        <v>17273</v>
      </c>
      <c r="O15" s="17" t="str">
        <f>"투표율: "&amp;TEXT(((G13/F13)*100), "0.00")&amp;"%"</f>
        <v>투표율: 48.00%</v>
      </c>
      <c r="P15" s="12" t="str">
        <f>"기권율: "&amp;TEXT(((N13/F13)*100), "0.00")&amp;"%"</f>
        <v>기권율: 52.00%</v>
      </c>
      <c r="Q15" s="17" t="str">
        <f>"유효투표율: "&amp;TEXT(((L13/G13)*100), "0.00")&amp;"%"</f>
        <v>유효투표율: 98.15%</v>
      </c>
      <c r="R15" s="12" t="str">
        <f>"무효투표율: "&amp;TEXT(((M13/G13)*100), "0.00")&amp;"%"</f>
        <v>무효투표율: 1.85%</v>
      </c>
      <c r="S15" s="48"/>
      <c r="T15" s="25" t="str">
        <f>TEXT(H13,"#,##0")&amp;CHAR(10)&amp;"("&amp;TEXT((ROUND((H13/(SUM(H13:K13))*100),2)),"0.00")&amp;"%)"</f>
        <v>7,149
(45.63%)</v>
      </c>
      <c r="U15" s="25" t="str">
        <f>TEXT(I13,"#,##0")&amp;CHAR(10)&amp;"("&amp;TEXT((ROUND((I13/(SUM(H13:K13))*100),2)),"0.00")&amp;"%)"</f>
        <v>7,798
(49.77%)</v>
      </c>
      <c r="V15" s="25" t="str">
        <f>TEXT(J13,"#,##0")&amp;CHAR(10)&amp;"("&amp;TEXT((ROUND((J13/(SUM(H13:K13))*100),2)),"0.00")&amp;"%)"</f>
        <v>721
(4.60%)</v>
      </c>
    </row>
    <row r="16" spans="1:22" ht="17.25" thickBot="1">
      <c r="A16" s="2" t="s">
        <v>0</v>
      </c>
      <c r="B16" s="2" t="s">
        <v>1</v>
      </c>
      <c r="C16" s="2" t="s">
        <v>1</v>
      </c>
      <c r="D16" s="2" t="s">
        <v>15</v>
      </c>
      <c r="E16" s="2" t="s">
        <v>10</v>
      </c>
      <c r="F16" s="7">
        <v>104891</v>
      </c>
      <c r="G16" s="7">
        <v>51614</v>
      </c>
      <c r="H16" s="7">
        <v>23713</v>
      </c>
      <c r="I16" s="7">
        <v>24363</v>
      </c>
      <c r="J16" s="7">
        <v>2504</v>
      </c>
      <c r="K16" s="8">
        <v>0</v>
      </c>
      <c r="L16" s="7">
        <v>50580</v>
      </c>
      <c r="M16" s="7">
        <v>1034</v>
      </c>
      <c r="N16" s="7">
        <v>53277</v>
      </c>
      <c r="O16" s="44" t="str">
        <f>D16</f>
        <v>신중동</v>
      </c>
      <c r="P16" s="53"/>
      <c r="Q16" s="53"/>
      <c r="R16" s="54"/>
      <c r="S16" s="30" t="s">
        <v>138</v>
      </c>
      <c r="T16" s="49" t="s">
        <v>136</v>
      </c>
      <c r="U16" s="51"/>
      <c r="V16" s="52"/>
    </row>
    <row r="17" spans="1:22" ht="17.25" thickBot="1">
      <c r="A17" s="2" t="s">
        <v>0</v>
      </c>
      <c r="B17" s="2" t="s">
        <v>1</v>
      </c>
      <c r="C17" s="2" t="s">
        <v>1</v>
      </c>
      <c r="D17" s="2" t="s">
        <v>15</v>
      </c>
      <c r="E17" s="2" t="s">
        <v>11</v>
      </c>
      <c r="F17" s="7">
        <v>14948</v>
      </c>
      <c r="G17" s="7">
        <v>14920</v>
      </c>
      <c r="H17" s="7">
        <v>7476</v>
      </c>
      <c r="I17" s="7">
        <v>6653</v>
      </c>
      <c r="J17" s="8">
        <v>650</v>
      </c>
      <c r="K17" s="8">
        <v>0</v>
      </c>
      <c r="L17" s="7">
        <v>14779</v>
      </c>
      <c r="M17" s="8">
        <v>141</v>
      </c>
      <c r="N17" s="8">
        <v>28</v>
      </c>
      <c r="O17" s="40" t="str">
        <f>"투표수: "&amp;TEXT((SUM(H16:K16)+M16), "#,##0")</f>
        <v>투표수: 51,614</v>
      </c>
      <c r="P17" s="42"/>
      <c r="Q17" s="18" t="str">
        <f>"유효투표수: "&amp;TEXT(SUM(H16:K16),"#,##0")</f>
        <v>유효투표수: 50,580</v>
      </c>
      <c r="R17" s="16" t="str">
        <f>"무효투표수: "&amp;TEXT(M16, "#,##0")</f>
        <v>무효투표수: 1,034</v>
      </c>
      <c r="S17" s="47" t="s">
        <v>139</v>
      </c>
      <c r="T17" s="24" t="str">
        <f>$H$3</f>
        <v>더불어민주당</v>
      </c>
      <c r="U17" s="24" t="str">
        <f>$I$3</f>
        <v>국민의힘</v>
      </c>
      <c r="V17" s="24" t="str">
        <f>$J$3</f>
        <v>정의당</v>
      </c>
    </row>
    <row r="18" spans="1:22" ht="17.25" thickBot="1">
      <c r="A18" s="2" t="s">
        <v>0</v>
      </c>
      <c r="B18" s="2" t="s">
        <v>1</v>
      </c>
      <c r="C18" s="2" t="s">
        <v>1</v>
      </c>
      <c r="D18" s="2" t="s">
        <v>15</v>
      </c>
      <c r="E18" s="2" t="s">
        <v>12</v>
      </c>
      <c r="F18" s="7">
        <v>89943</v>
      </c>
      <c r="G18" s="7">
        <v>36694</v>
      </c>
      <c r="H18" s="7">
        <v>16237</v>
      </c>
      <c r="I18" s="7">
        <v>17710</v>
      </c>
      <c r="J18" s="7">
        <v>1854</v>
      </c>
      <c r="K18" s="8">
        <v>0</v>
      </c>
      <c r="L18" s="7">
        <v>35801</v>
      </c>
      <c r="M18" s="8">
        <v>893</v>
      </c>
      <c r="N18" s="7">
        <v>53249</v>
      </c>
      <c r="O18" s="17" t="str">
        <f>"투표율: "&amp;TEXT(((G16/F16)*100), "0.00")&amp;"%"</f>
        <v>투표율: 49.21%</v>
      </c>
      <c r="P18" s="12" t="str">
        <f>"기권율: "&amp;TEXT(((N16/F16)*100), "0.00")&amp;"%"</f>
        <v>기권율: 50.79%</v>
      </c>
      <c r="Q18" s="17" t="str">
        <f>"유효투표율: "&amp;TEXT(((L16/G16)*100), "0.00")&amp;"%"</f>
        <v>유효투표율: 98.00%</v>
      </c>
      <c r="R18" s="12" t="str">
        <f>"무효투표율: "&amp;TEXT(((M16/G16)*100), "0.00")&amp;"%"</f>
        <v>무효투표율: 2.00%</v>
      </c>
      <c r="S18" s="48"/>
      <c r="T18" s="25" t="str">
        <f>TEXT(H16,"#,##0")&amp;CHAR(10)&amp;"("&amp;TEXT((ROUND((H16/(SUM(H16:K16))*100),2)),"0.00")&amp;"%)"</f>
        <v>23,713
(46.88%)</v>
      </c>
      <c r="U18" s="25" t="str">
        <f>TEXT(I16,"#,##0")&amp;CHAR(10)&amp;"("&amp;TEXT((ROUND((I16/(SUM(H16:K16))*100),2)),"0.00")&amp;"%)"</f>
        <v>24,363
(48.17%)</v>
      </c>
      <c r="V18" s="25" t="str">
        <f>TEXT(J16,"#,##0")&amp;CHAR(10)&amp;"("&amp;TEXT((ROUND((J16/(SUM(H16:K16))*100),2)),"0.00")&amp;"%)"</f>
        <v>2,504
(4.95%)</v>
      </c>
    </row>
    <row r="19" spans="1:22" ht="17.25" thickBot="1">
      <c r="A19" s="2" t="s">
        <v>0</v>
      </c>
      <c r="B19" s="2" t="s">
        <v>1</v>
      </c>
      <c r="C19" s="2" t="s">
        <v>1</v>
      </c>
      <c r="D19" s="2" t="s">
        <v>16</v>
      </c>
      <c r="E19" s="2" t="s">
        <v>10</v>
      </c>
      <c r="F19" s="7">
        <v>65723</v>
      </c>
      <c r="G19" s="7">
        <v>35007</v>
      </c>
      <c r="H19" s="7">
        <v>17274</v>
      </c>
      <c r="I19" s="7">
        <v>15322</v>
      </c>
      <c r="J19" s="7">
        <v>1936</v>
      </c>
      <c r="K19" s="8">
        <v>0</v>
      </c>
      <c r="L19" s="7">
        <v>34532</v>
      </c>
      <c r="M19" s="8">
        <v>475</v>
      </c>
      <c r="N19" s="7">
        <v>30716</v>
      </c>
      <c r="O19" s="44" t="str">
        <f>D19</f>
        <v>상동</v>
      </c>
      <c r="P19" s="53"/>
      <c r="Q19" s="53"/>
      <c r="R19" s="54"/>
      <c r="S19" s="30" t="s">
        <v>138</v>
      </c>
      <c r="T19" s="49" t="s">
        <v>136</v>
      </c>
      <c r="U19" s="51"/>
      <c r="V19" s="52"/>
    </row>
    <row r="20" spans="1:22" ht="17.25" thickBot="1">
      <c r="A20" s="2" t="s">
        <v>0</v>
      </c>
      <c r="B20" s="2" t="s">
        <v>1</v>
      </c>
      <c r="C20" s="2" t="s">
        <v>1</v>
      </c>
      <c r="D20" s="2" t="s">
        <v>16</v>
      </c>
      <c r="E20" s="2" t="s">
        <v>11</v>
      </c>
      <c r="F20" s="7">
        <v>12380</v>
      </c>
      <c r="G20" s="7">
        <v>12318</v>
      </c>
      <c r="H20" s="7">
        <v>6347</v>
      </c>
      <c r="I20" s="7">
        <v>5193</v>
      </c>
      <c r="J20" s="8">
        <v>682</v>
      </c>
      <c r="K20" s="8">
        <v>0</v>
      </c>
      <c r="L20" s="7">
        <v>12222</v>
      </c>
      <c r="M20" s="8">
        <v>96</v>
      </c>
      <c r="N20" s="8">
        <v>62</v>
      </c>
      <c r="O20" s="40" t="str">
        <f>"투표수: "&amp;TEXT((SUM(H19:K19)+M19), "#,##0")</f>
        <v>투표수: 35,007</v>
      </c>
      <c r="P20" s="42"/>
      <c r="Q20" s="18" t="str">
        <f>"유효투표수: "&amp;TEXT(SUM(H19:K19),"#,##0")</f>
        <v>유효투표수: 34,532</v>
      </c>
      <c r="R20" s="16" t="str">
        <f>"무효투표수: "&amp;TEXT(M19, "#,##0")</f>
        <v>무효투표수: 475</v>
      </c>
      <c r="S20" s="47" t="s">
        <v>139</v>
      </c>
      <c r="T20" s="24" t="str">
        <f>$H$3</f>
        <v>더불어민주당</v>
      </c>
      <c r="U20" s="24" t="str">
        <f>$I$3</f>
        <v>국민의힘</v>
      </c>
      <c r="V20" s="24" t="str">
        <f>$J$3</f>
        <v>정의당</v>
      </c>
    </row>
    <row r="21" spans="1:22" ht="17.25" thickBot="1">
      <c r="A21" s="2" t="s">
        <v>0</v>
      </c>
      <c r="B21" s="2" t="s">
        <v>1</v>
      </c>
      <c r="C21" s="2" t="s">
        <v>1</v>
      </c>
      <c r="D21" s="2" t="s">
        <v>16</v>
      </c>
      <c r="E21" s="2" t="s">
        <v>12</v>
      </c>
      <c r="F21" s="7">
        <v>53343</v>
      </c>
      <c r="G21" s="7">
        <v>22689</v>
      </c>
      <c r="H21" s="7">
        <v>10927</v>
      </c>
      <c r="I21" s="7">
        <v>10129</v>
      </c>
      <c r="J21" s="7">
        <v>1254</v>
      </c>
      <c r="K21" s="8">
        <v>0</v>
      </c>
      <c r="L21" s="7">
        <v>22310</v>
      </c>
      <c r="M21" s="8">
        <v>379</v>
      </c>
      <c r="N21" s="7">
        <v>30654</v>
      </c>
      <c r="O21" s="17" t="str">
        <f>"투표율: "&amp;TEXT(((G19/F19)*100), "0.00")&amp;"%"</f>
        <v>투표율: 53.26%</v>
      </c>
      <c r="P21" s="12" t="str">
        <f>"기권율: "&amp;TEXT(((N19/F19)*100), "0.00")&amp;"%"</f>
        <v>기권율: 46.74%</v>
      </c>
      <c r="Q21" s="17" t="str">
        <f>"유효투표율: "&amp;TEXT(((L19/G19)*100), "0.00")&amp;"%"</f>
        <v>유효투표율: 98.64%</v>
      </c>
      <c r="R21" s="12" t="str">
        <f>"무효투표율: "&amp;TEXT(((M19/G19)*100), "0.00")&amp;"%"</f>
        <v>무효투표율: 1.36%</v>
      </c>
      <c r="S21" s="48"/>
      <c r="T21" s="25" t="str">
        <f>TEXT(H19,"#,##0")&amp;CHAR(10)&amp;"("&amp;TEXT((ROUND((H19/(SUM(H19:K19))*100),2)),"0.00")&amp;"%)"</f>
        <v>17,274
(50.02%)</v>
      </c>
      <c r="U21" s="25" t="str">
        <f>TEXT(I19,"#,##0")&amp;CHAR(10)&amp;"("&amp;TEXT((ROUND((I19/(SUM(H19:K19))*100),2)),"0.00")&amp;"%)"</f>
        <v>15,322
(44.37%)</v>
      </c>
      <c r="V21" s="25" t="str">
        <f>TEXT(J19,"#,##0")&amp;CHAR(10)&amp;"("&amp;TEXT((ROUND((J19/(SUM(H19:K19))*100),2)),"0.00")&amp;"%)"</f>
        <v>1,936
(5.61%)</v>
      </c>
    </row>
    <row r="22" spans="1:22" ht="17.25" thickBot="1">
      <c r="A22" s="2" t="s">
        <v>0</v>
      </c>
      <c r="B22" s="2" t="s">
        <v>1</v>
      </c>
      <c r="C22" s="2" t="s">
        <v>1</v>
      </c>
      <c r="D22" s="2" t="s">
        <v>17</v>
      </c>
      <c r="E22" s="2" t="s">
        <v>10</v>
      </c>
      <c r="F22" s="7">
        <v>69217</v>
      </c>
      <c r="G22" s="7">
        <v>31943</v>
      </c>
      <c r="H22" s="7">
        <v>14779</v>
      </c>
      <c r="I22" s="7">
        <v>14902</v>
      </c>
      <c r="J22" s="7">
        <v>1595</v>
      </c>
      <c r="K22" s="8">
        <v>0</v>
      </c>
      <c r="L22" s="7">
        <v>31276</v>
      </c>
      <c r="M22" s="8">
        <v>667</v>
      </c>
      <c r="N22" s="7">
        <v>37274</v>
      </c>
      <c r="O22" s="44" t="str">
        <f>D22</f>
        <v>대산동</v>
      </c>
      <c r="P22" s="53"/>
      <c r="Q22" s="53"/>
      <c r="R22" s="54"/>
      <c r="S22" s="30" t="s">
        <v>138</v>
      </c>
      <c r="T22" s="49" t="s">
        <v>136</v>
      </c>
      <c r="U22" s="51"/>
      <c r="V22" s="52"/>
    </row>
    <row r="23" spans="1:22" ht="17.25" thickBot="1">
      <c r="A23" s="2" t="s">
        <v>0</v>
      </c>
      <c r="B23" s="2" t="s">
        <v>1</v>
      </c>
      <c r="C23" s="2" t="s">
        <v>1</v>
      </c>
      <c r="D23" s="2" t="s">
        <v>17</v>
      </c>
      <c r="E23" s="2" t="s">
        <v>11</v>
      </c>
      <c r="F23" s="7">
        <v>10727</v>
      </c>
      <c r="G23" s="7">
        <v>10702</v>
      </c>
      <c r="H23" s="7">
        <v>5210</v>
      </c>
      <c r="I23" s="7">
        <v>4904</v>
      </c>
      <c r="J23" s="8">
        <v>490</v>
      </c>
      <c r="K23" s="8">
        <v>0</v>
      </c>
      <c r="L23" s="7">
        <v>10604</v>
      </c>
      <c r="M23" s="8">
        <v>98</v>
      </c>
      <c r="N23" s="8">
        <v>25</v>
      </c>
      <c r="O23" s="40" t="str">
        <f>"투표수: "&amp;TEXT((SUM(H22:K22)+M22), "#,##0")</f>
        <v>투표수: 31,943</v>
      </c>
      <c r="P23" s="42"/>
      <c r="Q23" s="18" t="str">
        <f>"유효투표수: "&amp;TEXT(SUM(H22:K22),"#,##0")</f>
        <v>유효투표수: 31,276</v>
      </c>
      <c r="R23" s="16" t="str">
        <f>"무효투표수: "&amp;TEXT(M22, "#,##0")</f>
        <v>무효투표수: 667</v>
      </c>
      <c r="S23" s="47" t="s">
        <v>140</v>
      </c>
      <c r="T23" s="24" t="str">
        <f>$H$3</f>
        <v>더불어민주당</v>
      </c>
      <c r="U23" s="24" t="str">
        <f>$I$3</f>
        <v>국민의힘</v>
      </c>
      <c r="V23" s="24" t="str">
        <f>$J$3</f>
        <v>정의당</v>
      </c>
    </row>
    <row r="24" spans="1:22" ht="17.25" thickBot="1">
      <c r="A24" s="2" t="s">
        <v>0</v>
      </c>
      <c r="B24" s="2" t="s">
        <v>1</v>
      </c>
      <c r="C24" s="2" t="s">
        <v>1</v>
      </c>
      <c r="D24" s="2" t="s">
        <v>17</v>
      </c>
      <c r="E24" s="2" t="s">
        <v>12</v>
      </c>
      <c r="F24" s="7">
        <v>58490</v>
      </c>
      <c r="G24" s="7">
        <v>21241</v>
      </c>
      <c r="H24" s="7">
        <v>9569</v>
      </c>
      <c r="I24" s="7">
        <v>9998</v>
      </c>
      <c r="J24" s="7">
        <v>1105</v>
      </c>
      <c r="K24" s="8">
        <v>0</v>
      </c>
      <c r="L24" s="7">
        <v>20672</v>
      </c>
      <c r="M24" s="8">
        <v>569</v>
      </c>
      <c r="N24" s="7">
        <v>37249</v>
      </c>
      <c r="O24" s="17" t="str">
        <f>"투표율: "&amp;TEXT(((G22/F22)*100), "0.00")&amp;"%"</f>
        <v>투표율: 46.15%</v>
      </c>
      <c r="P24" s="12" t="str">
        <f>"기권율: "&amp;TEXT(((N22/F22)*100), "0.00")&amp;"%"</f>
        <v>기권율: 53.85%</v>
      </c>
      <c r="Q24" s="17" t="str">
        <f>"유효투표율: "&amp;TEXT(((L22/G22)*100), "0.00")&amp;"%"</f>
        <v>유효투표율: 97.91%</v>
      </c>
      <c r="R24" s="12" t="str">
        <f>"무효투표율: "&amp;TEXT(((M22/G22)*100), "0.00")&amp;"%"</f>
        <v>무효투표율: 2.09%</v>
      </c>
      <c r="S24" s="48"/>
      <c r="T24" s="25" t="str">
        <f>TEXT(H22,"#,##0")&amp;CHAR(10)&amp;"("&amp;TEXT((ROUND((H22/(SUM(H22:K22))*100),2)),"0.00")&amp;"%)"</f>
        <v>14,779
(47.25%)</v>
      </c>
      <c r="U24" s="25" t="str">
        <f>TEXT(I22,"#,##0")&amp;CHAR(10)&amp;"("&amp;TEXT((ROUND((I22/(SUM(H22:K22))*100),2)),"0.00")&amp;"%)"</f>
        <v>14,902
(47.65%)</v>
      </c>
      <c r="V24" s="25" t="str">
        <f>TEXT(J22,"#,##0")&amp;CHAR(10)&amp;"("&amp;TEXT((ROUND((J22/(SUM(H22:K22))*100),2)),"0.00")&amp;"%)"</f>
        <v>1,595
(5.10%)</v>
      </c>
    </row>
    <row r="25" spans="1:22" ht="17.25" thickBot="1">
      <c r="A25" s="2" t="s">
        <v>0</v>
      </c>
      <c r="B25" s="2" t="s">
        <v>1</v>
      </c>
      <c r="C25" s="2" t="s">
        <v>1</v>
      </c>
      <c r="D25" s="2" t="s">
        <v>18</v>
      </c>
      <c r="E25" s="2" t="s">
        <v>10</v>
      </c>
      <c r="F25" s="7">
        <v>47320</v>
      </c>
      <c r="G25" s="7">
        <v>22384</v>
      </c>
      <c r="H25" s="7">
        <v>10430</v>
      </c>
      <c r="I25" s="7">
        <v>10566</v>
      </c>
      <c r="J25" s="8">
        <v>918</v>
      </c>
      <c r="K25" s="8">
        <v>0</v>
      </c>
      <c r="L25" s="7">
        <v>21914</v>
      </c>
      <c r="M25" s="8">
        <v>470</v>
      </c>
      <c r="N25" s="7">
        <v>24936</v>
      </c>
      <c r="O25" s="44" t="str">
        <f>D25</f>
        <v>소사본동</v>
      </c>
      <c r="P25" s="53"/>
      <c r="Q25" s="53"/>
      <c r="R25" s="54"/>
      <c r="S25" s="30" t="s">
        <v>138</v>
      </c>
      <c r="T25" s="49" t="s">
        <v>136</v>
      </c>
      <c r="U25" s="51"/>
      <c r="V25" s="52"/>
    </row>
    <row r="26" spans="1:22" ht="17.25" thickBot="1">
      <c r="A26" s="2" t="s">
        <v>0</v>
      </c>
      <c r="B26" s="2" t="s">
        <v>1</v>
      </c>
      <c r="C26" s="2" t="s">
        <v>1</v>
      </c>
      <c r="D26" s="2" t="s">
        <v>18</v>
      </c>
      <c r="E26" s="2" t="s">
        <v>11</v>
      </c>
      <c r="F26" s="7">
        <v>7201</v>
      </c>
      <c r="G26" s="7">
        <v>7180</v>
      </c>
      <c r="H26" s="7">
        <v>3490</v>
      </c>
      <c r="I26" s="7">
        <v>3358</v>
      </c>
      <c r="J26" s="8">
        <v>254</v>
      </c>
      <c r="K26" s="8">
        <v>0</v>
      </c>
      <c r="L26" s="7">
        <v>7102</v>
      </c>
      <c r="M26" s="8">
        <v>78</v>
      </c>
      <c r="N26" s="8">
        <v>21</v>
      </c>
      <c r="O26" s="40" t="str">
        <f>"투표수: "&amp;TEXT((SUM(H25:K25)+M25), "#,##0")</f>
        <v>투표수: 22,384</v>
      </c>
      <c r="P26" s="42"/>
      <c r="Q26" s="18" t="str">
        <f>"유효투표수: "&amp;TEXT(SUM(H25:K25),"#,##0")</f>
        <v>유효투표수: 21,914</v>
      </c>
      <c r="R26" s="16" t="str">
        <f>"무효투표수: "&amp;TEXT(M25, "#,##0")</f>
        <v>무효투표수: 470</v>
      </c>
      <c r="S26" s="47" t="s">
        <v>140</v>
      </c>
      <c r="T26" s="24" t="str">
        <f>$H$3</f>
        <v>더불어민주당</v>
      </c>
      <c r="U26" s="24" t="str">
        <f>$I$3</f>
        <v>국민의힘</v>
      </c>
      <c r="V26" s="24" t="str">
        <f>$J$3</f>
        <v>정의당</v>
      </c>
    </row>
    <row r="27" spans="1:22" ht="17.25" thickBot="1">
      <c r="A27" s="2" t="s">
        <v>0</v>
      </c>
      <c r="B27" s="2" t="s">
        <v>1</v>
      </c>
      <c r="C27" s="2" t="s">
        <v>1</v>
      </c>
      <c r="D27" s="2" t="s">
        <v>18</v>
      </c>
      <c r="E27" s="2" t="s">
        <v>12</v>
      </c>
      <c r="F27" s="7">
        <v>40119</v>
      </c>
      <c r="G27" s="7">
        <v>15204</v>
      </c>
      <c r="H27" s="7">
        <v>6940</v>
      </c>
      <c r="I27" s="7">
        <v>7208</v>
      </c>
      <c r="J27" s="8">
        <v>664</v>
      </c>
      <c r="K27" s="8">
        <v>0</v>
      </c>
      <c r="L27" s="7">
        <v>14812</v>
      </c>
      <c r="M27" s="8">
        <v>392</v>
      </c>
      <c r="N27" s="7">
        <v>24915</v>
      </c>
      <c r="O27" s="17" t="str">
        <f>"투표율: "&amp;TEXT(((G25/F25)*100), "0.00")&amp;"%"</f>
        <v>투표율: 47.30%</v>
      </c>
      <c r="P27" s="12" t="str">
        <f>"기권율: "&amp;TEXT(((N25/F25)*100), "0.00")&amp;"%"</f>
        <v>기권율: 52.70%</v>
      </c>
      <c r="Q27" s="17" t="str">
        <f>"유효투표율: "&amp;TEXT(((L25/G25)*100), "0.00")&amp;"%"</f>
        <v>유효투표율: 97.90%</v>
      </c>
      <c r="R27" s="12" t="str">
        <f>"무효투표율: "&amp;TEXT(((M25/G25)*100), "0.00")&amp;"%"</f>
        <v>무효투표율: 2.10%</v>
      </c>
      <c r="S27" s="48"/>
      <c r="T27" s="25" t="str">
        <f>TEXT(H25,"#,##0")&amp;CHAR(10)&amp;"("&amp;TEXT((ROUND((H25/(SUM(H25:K25))*100),2)),"0.00")&amp;"%)"</f>
        <v>10,430
(47.60%)</v>
      </c>
      <c r="U27" s="25" t="str">
        <f>TEXT(I25,"#,##0")&amp;CHAR(10)&amp;"("&amp;TEXT((ROUND((I25/(SUM(H25:K25))*100),2)),"0.00")&amp;"%)"</f>
        <v>10,566
(48.22%)</v>
      </c>
      <c r="V27" s="25" t="str">
        <f>TEXT(J25,"#,##0")&amp;CHAR(10)&amp;"("&amp;TEXT((ROUND((J25/(SUM(H25:K25))*100),2)),"0.00")&amp;"%)"</f>
        <v>918
(4.19%)</v>
      </c>
    </row>
    <row r="28" spans="1:22" ht="17.25" thickBot="1">
      <c r="A28" s="2" t="s">
        <v>0</v>
      </c>
      <c r="B28" s="2" t="s">
        <v>1</v>
      </c>
      <c r="C28" s="2" t="s">
        <v>1</v>
      </c>
      <c r="D28" s="2" t="s">
        <v>19</v>
      </c>
      <c r="E28" s="2" t="s">
        <v>10</v>
      </c>
      <c r="F28" s="7">
        <v>73698</v>
      </c>
      <c r="G28" s="7">
        <v>37381</v>
      </c>
      <c r="H28" s="7">
        <v>18747</v>
      </c>
      <c r="I28" s="7">
        <v>16151</v>
      </c>
      <c r="J28" s="7">
        <v>1859</v>
      </c>
      <c r="K28" s="8">
        <v>0</v>
      </c>
      <c r="L28" s="7">
        <v>36757</v>
      </c>
      <c r="M28" s="8">
        <v>624</v>
      </c>
      <c r="N28" s="7">
        <v>36317</v>
      </c>
      <c r="O28" s="44" t="str">
        <f>D28</f>
        <v>범안동</v>
      </c>
      <c r="P28" s="53"/>
      <c r="Q28" s="53"/>
      <c r="R28" s="54"/>
      <c r="S28" s="30" t="s">
        <v>138</v>
      </c>
      <c r="T28" s="49" t="s">
        <v>136</v>
      </c>
      <c r="U28" s="51"/>
      <c r="V28" s="52"/>
    </row>
    <row r="29" spans="1:22" ht="17.25" thickBot="1">
      <c r="A29" s="2" t="s">
        <v>0</v>
      </c>
      <c r="B29" s="2" t="s">
        <v>1</v>
      </c>
      <c r="C29" s="2" t="s">
        <v>1</v>
      </c>
      <c r="D29" s="2" t="s">
        <v>19</v>
      </c>
      <c r="E29" s="2" t="s">
        <v>11</v>
      </c>
      <c r="F29" s="7">
        <v>10306</v>
      </c>
      <c r="G29" s="7">
        <v>10286</v>
      </c>
      <c r="H29" s="7">
        <v>5410</v>
      </c>
      <c r="I29" s="7">
        <v>4421</v>
      </c>
      <c r="J29" s="8">
        <v>382</v>
      </c>
      <c r="K29" s="8">
        <v>0</v>
      </c>
      <c r="L29" s="7">
        <v>10213</v>
      </c>
      <c r="M29" s="8">
        <v>73</v>
      </c>
      <c r="N29" s="8">
        <v>20</v>
      </c>
      <c r="O29" s="40" t="str">
        <f>"투표수: "&amp;TEXT((SUM(H28:K28)+M28), "#,##0")</f>
        <v>투표수: 37,381</v>
      </c>
      <c r="P29" s="42"/>
      <c r="Q29" s="18" t="str">
        <f>"유효투표수: "&amp;TEXT(SUM(H28:K28),"#,##0")</f>
        <v>유효투표수: 36,757</v>
      </c>
      <c r="R29" s="16" t="str">
        <f>"무효투표수: "&amp;TEXT(M28, "#,##0")</f>
        <v>무효투표수: 624</v>
      </c>
      <c r="S29" s="47" t="s">
        <v>140</v>
      </c>
      <c r="T29" s="24" t="str">
        <f>$H$3</f>
        <v>더불어민주당</v>
      </c>
      <c r="U29" s="24" t="str">
        <f>$I$3</f>
        <v>국민의힘</v>
      </c>
      <c r="V29" s="24" t="str">
        <f>$J$3</f>
        <v>정의당</v>
      </c>
    </row>
    <row r="30" spans="1:22" ht="17.25" thickBot="1">
      <c r="A30" s="2" t="s">
        <v>0</v>
      </c>
      <c r="B30" s="2" t="s">
        <v>1</v>
      </c>
      <c r="C30" s="2" t="s">
        <v>1</v>
      </c>
      <c r="D30" s="2" t="s">
        <v>19</v>
      </c>
      <c r="E30" s="2" t="s">
        <v>12</v>
      </c>
      <c r="F30" s="7">
        <v>63392</v>
      </c>
      <c r="G30" s="7">
        <v>27095</v>
      </c>
      <c r="H30" s="7">
        <v>13337</v>
      </c>
      <c r="I30" s="7">
        <v>11730</v>
      </c>
      <c r="J30" s="7">
        <v>1477</v>
      </c>
      <c r="K30" s="8">
        <v>0</v>
      </c>
      <c r="L30" s="7">
        <v>26544</v>
      </c>
      <c r="M30" s="8">
        <v>551</v>
      </c>
      <c r="N30" s="7">
        <v>36297</v>
      </c>
      <c r="O30" s="17" t="str">
        <f>"투표율: "&amp;TEXT(((G28/F28)*100), "0.00")&amp;"%"</f>
        <v>투표율: 50.72%</v>
      </c>
      <c r="P30" s="12" t="str">
        <f>"기권율: "&amp;TEXT(((N28/F28)*100), "0.00")&amp;"%"</f>
        <v>기권율: 49.28%</v>
      </c>
      <c r="Q30" s="17" t="str">
        <f>"유효투표율: "&amp;TEXT(((L28/G28)*100), "0.00")&amp;"%"</f>
        <v>유효투표율: 98.33%</v>
      </c>
      <c r="R30" s="12" t="str">
        <f>"무효투표율: "&amp;TEXT(((M28/G28)*100), "0.00")&amp;"%"</f>
        <v>무효투표율: 1.67%</v>
      </c>
      <c r="S30" s="48"/>
      <c r="T30" s="25" t="str">
        <f>TEXT(H28,"#,##0")&amp;CHAR(10)&amp;"("&amp;TEXT((ROUND((H28/(SUM(H28:K28))*100),2)),"0.00")&amp;"%)"</f>
        <v>18,747
(51.00%)</v>
      </c>
      <c r="U30" s="25" t="str">
        <f>TEXT(I28,"#,##0")&amp;CHAR(10)&amp;"("&amp;TEXT((ROUND((I28/(SUM(H28:K28))*100),2)),"0.00")&amp;"%)"</f>
        <v>16,151
(43.94%)</v>
      </c>
      <c r="V30" s="25" t="str">
        <f>TEXT(J28,"#,##0")&amp;CHAR(10)&amp;"("&amp;TEXT((ROUND((J28/(SUM(H28:K28))*100),2)),"0.00")&amp;"%)"</f>
        <v>1,859
(5.06%)</v>
      </c>
    </row>
    <row r="31" spans="1:22" ht="17.25" thickBot="1">
      <c r="A31" s="2" t="s">
        <v>0</v>
      </c>
      <c r="B31" s="2" t="s">
        <v>1</v>
      </c>
      <c r="C31" s="2" t="s">
        <v>1</v>
      </c>
      <c r="D31" s="2" t="s">
        <v>20</v>
      </c>
      <c r="E31" s="2" t="s">
        <v>10</v>
      </c>
      <c r="F31" s="7">
        <v>69725</v>
      </c>
      <c r="G31" s="7">
        <v>29765</v>
      </c>
      <c r="H31" s="7">
        <v>14673</v>
      </c>
      <c r="I31" s="7">
        <v>13038</v>
      </c>
      <c r="J31" s="7">
        <v>1387</v>
      </c>
      <c r="K31" s="8">
        <v>0</v>
      </c>
      <c r="L31" s="7">
        <v>29098</v>
      </c>
      <c r="M31" s="8">
        <v>667</v>
      </c>
      <c r="N31" s="7">
        <v>39960</v>
      </c>
      <c r="O31" s="44" t="str">
        <f>D31</f>
        <v>성곡동</v>
      </c>
      <c r="P31" s="53"/>
      <c r="Q31" s="53"/>
      <c r="R31" s="54"/>
      <c r="S31" s="30" t="s">
        <v>138</v>
      </c>
      <c r="T31" s="49" t="s">
        <v>136</v>
      </c>
      <c r="U31" s="51"/>
      <c r="V31" s="52"/>
    </row>
    <row r="32" spans="1:22" ht="17.25" thickBot="1">
      <c r="A32" s="2" t="s">
        <v>0</v>
      </c>
      <c r="B32" s="2" t="s">
        <v>1</v>
      </c>
      <c r="C32" s="2" t="s">
        <v>1</v>
      </c>
      <c r="D32" s="2" t="s">
        <v>20</v>
      </c>
      <c r="E32" s="2" t="s">
        <v>11</v>
      </c>
      <c r="F32" s="7">
        <v>9420</v>
      </c>
      <c r="G32" s="7">
        <v>9403</v>
      </c>
      <c r="H32" s="7">
        <v>4886</v>
      </c>
      <c r="I32" s="7">
        <v>3974</v>
      </c>
      <c r="J32" s="8">
        <v>422</v>
      </c>
      <c r="K32" s="8">
        <v>0</v>
      </c>
      <c r="L32" s="7">
        <v>9282</v>
      </c>
      <c r="M32" s="8">
        <v>121</v>
      </c>
      <c r="N32" s="8">
        <v>17</v>
      </c>
      <c r="O32" s="40" t="str">
        <f>"투표수: "&amp;TEXT((SUM(H31:K31)+M31), "#,##0")</f>
        <v>투표수: 29,765</v>
      </c>
      <c r="P32" s="42"/>
      <c r="Q32" s="18" t="str">
        <f>"유효투표수: "&amp;TEXT(SUM(H31:K31),"#,##0")</f>
        <v>유효투표수: 29,098</v>
      </c>
      <c r="R32" s="16" t="str">
        <f>"무효투표수: "&amp;TEXT(M31, "#,##0")</f>
        <v>무효투표수: 667</v>
      </c>
      <c r="S32" s="47" t="s">
        <v>141</v>
      </c>
      <c r="T32" s="24" t="str">
        <f>$H$3</f>
        <v>더불어민주당</v>
      </c>
      <c r="U32" s="24" t="str">
        <f>$I$3</f>
        <v>국민의힘</v>
      </c>
      <c r="V32" s="24" t="str">
        <f>$J$3</f>
        <v>정의당</v>
      </c>
    </row>
    <row r="33" spans="1:24" ht="17.25" thickBot="1">
      <c r="A33" s="2" t="s">
        <v>0</v>
      </c>
      <c r="B33" s="2" t="s">
        <v>1</v>
      </c>
      <c r="C33" s="2" t="s">
        <v>1</v>
      </c>
      <c r="D33" s="2" t="s">
        <v>20</v>
      </c>
      <c r="E33" s="2" t="s">
        <v>12</v>
      </c>
      <c r="F33" s="7">
        <v>60305</v>
      </c>
      <c r="G33" s="7">
        <v>20362</v>
      </c>
      <c r="H33" s="7">
        <v>9787</v>
      </c>
      <c r="I33" s="7">
        <v>9064</v>
      </c>
      <c r="J33" s="8">
        <v>965</v>
      </c>
      <c r="K33" s="8">
        <v>0</v>
      </c>
      <c r="L33" s="7">
        <v>19816</v>
      </c>
      <c r="M33" s="8">
        <v>546</v>
      </c>
      <c r="N33" s="7">
        <v>39943</v>
      </c>
      <c r="O33" s="17" t="str">
        <f>"투표율: "&amp;TEXT(((G31/F31)*100), "0.00")&amp;"%"</f>
        <v>투표율: 42.69%</v>
      </c>
      <c r="P33" s="12" t="str">
        <f>"기권율: "&amp;TEXT(((N31/F31)*100), "0.00")&amp;"%"</f>
        <v>기권율: 57.31%</v>
      </c>
      <c r="Q33" s="17" t="str">
        <f>"유효투표율: "&amp;TEXT(((L31/G31)*100), "0.00")&amp;"%"</f>
        <v>유효투표율: 97.76%</v>
      </c>
      <c r="R33" s="12" t="str">
        <f>"무효투표율: "&amp;TEXT(((M31/G31)*100), "0.00")&amp;"%"</f>
        <v>무효투표율: 2.24%</v>
      </c>
      <c r="S33" s="48"/>
      <c r="T33" s="25" t="str">
        <f>TEXT(H31,"#,##0")&amp;CHAR(10)&amp;"("&amp;TEXT((ROUND((H31/(SUM(H31:K31))*100),2)),"0.00")&amp;"%)"</f>
        <v>14,673
(50.43%)</v>
      </c>
      <c r="U33" s="25" t="str">
        <f>TEXT(I31,"#,##0")&amp;CHAR(10)&amp;"("&amp;TEXT((ROUND((I31/(SUM(H31:K31))*100),2)),"0.00")&amp;"%)"</f>
        <v>13,038
(44.81%)</v>
      </c>
      <c r="V33" s="25" t="str">
        <f>TEXT(J31,"#,##0")&amp;CHAR(10)&amp;"("&amp;TEXT((ROUND((J31/(SUM(H31:K31))*100),2)),"0.00")&amp;"%)"</f>
        <v>1,387
(4.77%)</v>
      </c>
    </row>
    <row r="34" spans="1:24" ht="17.25" thickBot="1">
      <c r="A34" s="2" t="s">
        <v>0</v>
      </c>
      <c r="B34" s="2" t="s">
        <v>1</v>
      </c>
      <c r="C34" s="2" t="s">
        <v>1</v>
      </c>
      <c r="D34" s="2" t="s">
        <v>21</v>
      </c>
      <c r="E34" s="2" t="s">
        <v>10</v>
      </c>
      <c r="F34" s="7">
        <v>69052</v>
      </c>
      <c r="G34" s="7">
        <v>28205</v>
      </c>
      <c r="H34" s="7">
        <v>13611</v>
      </c>
      <c r="I34" s="7">
        <v>12666</v>
      </c>
      <c r="J34" s="7">
        <v>1062</v>
      </c>
      <c r="K34" s="8">
        <v>0</v>
      </c>
      <c r="L34" s="7">
        <v>27339</v>
      </c>
      <c r="M34" s="8">
        <v>866</v>
      </c>
      <c r="N34" s="7">
        <v>40847</v>
      </c>
      <c r="O34" s="44" t="str">
        <f>D34</f>
        <v>오정동</v>
      </c>
      <c r="P34" s="53"/>
      <c r="Q34" s="53"/>
      <c r="R34" s="54"/>
      <c r="S34" s="30" t="s">
        <v>138</v>
      </c>
      <c r="T34" s="49" t="s">
        <v>136</v>
      </c>
      <c r="U34" s="51"/>
      <c r="V34" s="52"/>
    </row>
    <row r="35" spans="1:24" ht="17.25" thickBot="1">
      <c r="A35" s="2" t="s">
        <v>0</v>
      </c>
      <c r="B35" s="2" t="s">
        <v>1</v>
      </c>
      <c r="C35" s="2" t="s">
        <v>1</v>
      </c>
      <c r="D35" s="2" t="s">
        <v>21</v>
      </c>
      <c r="E35" s="2" t="s">
        <v>11</v>
      </c>
      <c r="F35" s="7">
        <v>7478</v>
      </c>
      <c r="G35" s="7">
        <v>7467</v>
      </c>
      <c r="H35" s="7">
        <v>3777</v>
      </c>
      <c r="I35" s="7">
        <v>3291</v>
      </c>
      <c r="J35" s="8">
        <v>296</v>
      </c>
      <c r="K35" s="8">
        <v>0</v>
      </c>
      <c r="L35" s="7">
        <v>7364</v>
      </c>
      <c r="M35" s="8">
        <v>103</v>
      </c>
      <c r="N35" s="8">
        <v>11</v>
      </c>
      <c r="O35" s="40" t="str">
        <f>"투표수: "&amp;TEXT((SUM(H34:K34)+M34), "#,##0")</f>
        <v>투표수: 28,205</v>
      </c>
      <c r="P35" s="42"/>
      <c r="Q35" s="18" t="str">
        <f>"유효투표수: "&amp;TEXT(SUM(H34:K34),"#,##0")</f>
        <v>유효투표수: 27,339</v>
      </c>
      <c r="R35" s="16" t="str">
        <f>"무효투표수: "&amp;TEXT(M34, "#,##0")</f>
        <v>무효투표수: 866</v>
      </c>
      <c r="S35" s="47" t="s">
        <v>141</v>
      </c>
      <c r="T35" s="24" t="str">
        <f>$H$3</f>
        <v>더불어민주당</v>
      </c>
      <c r="U35" s="24" t="str">
        <f>$I$3</f>
        <v>국민의힘</v>
      </c>
      <c r="V35" s="24" t="str">
        <f>$J$3</f>
        <v>정의당</v>
      </c>
    </row>
    <row r="36" spans="1:24" ht="17.25" thickBot="1">
      <c r="A36" s="2" t="s">
        <v>0</v>
      </c>
      <c r="B36" s="2" t="s">
        <v>1</v>
      </c>
      <c r="C36" s="2" t="s">
        <v>1</v>
      </c>
      <c r="D36" s="2" t="s">
        <v>21</v>
      </c>
      <c r="E36" s="2" t="s">
        <v>12</v>
      </c>
      <c r="F36" s="7">
        <v>61574</v>
      </c>
      <c r="G36" s="7">
        <v>20738</v>
      </c>
      <c r="H36" s="7">
        <v>9834</v>
      </c>
      <c r="I36" s="7">
        <v>9375</v>
      </c>
      <c r="J36" s="8">
        <v>766</v>
      </c>
      <c r="K36" s="8">
        <v>0</v>
      </c>
      <c r="L36" s="7">
        <v>19975</v>
      </c>
      <c r="M36" s="8">
        <v>763</v>
      </c>
      <c r="N36" s="7">
        <v>40836</v>
      </c>
      <c r="O36" s="17" t="str">
        <f>"투표율: "&amp;TEXT(((G34/F34)*100), "0.00")&amp;"%"</f>
        <v>투표율: 40.85%</v>
      </c>
      <c r="P36" s="12" t="str">
        <f>"기권율: "&amp;TEXT(((N34/F34)*100), "0.00")&amp;"%"</f>
        <v>기권율: 59.15%</v>
      </c>
      <c r="Q36" s="17" t="str">
        <f>"유효투표율: "&amp;TEXT(((L34/G34)*100), "0.00")&amp;"%"</f>
        <v>유효투표율: 96.93%</v>
      </c>
      <c r="R36" s="12" t="str">
        <f>"무효투표율: "&amp;TEXT(((M34/G34)*100), "0.00")&amp;"%"</f>
        <v>무효투표율: 3.07%</v>
      </c>
      <c r="S36" s="48"/>
      <c r="T36" s="25" t="str">
        <f>TEXT(H34,"#,##0")&amp;CHAR(10)&amp;"("&amp;TEXT((ROUND((H34/(SUM(H34:K34))*100),2)),"0.00")&amp;"%)"</f>
        <v>13,611
(49.79%)</v>
      </c>
      <c r="U36" s="25" t="str">
        <f>TEXT(I34,"#,##0")&amp;CHAR(10)&amp;"("&amp;TEXT((ROUND((I34/(SUM(H34:K34))*100),2)),"0.00")&amp;"%)"</f>
        <v>12,666
(46.33%)</v>
      </c>
      <c r="V36" s="25" t="str">
        <f>TEXT(J34,"#,##0")&amp;CHAR(10)&amp;"("&amp;TEXT((ROUND((J34/(SUM(H34:K34))*100),2)),"0.00")&amp;"%)"</f>
        <v>1,062
(3.88%)</v>
      </c>
    </row>
    <row r="37" spans="1:24" ht="17.25" thickBot="1">
      <c r="A37" s="2" t="s">
        <v>0</v>
      </c>
      <c r="B37" s="2" t="s">
        <v>1</v>
      </c>
      <c r="C37" s="2" t="s">
        <v>1</v>
      </c>
      <c r="D37" s="2" t="s">
        <v>22</v>
      </c>
      <c r="E37" s="2" t="s">
        <v>2</v>
      </c>
      <c r="F37" s="8">
        <v>0</v>
      </c>
      <c r="G37" s="8">
        <v>639</v>
      </c>
      <c r="H37" s="8">
        <v>286</v>
      </c>
      <c r="I37" s="8">
        <v>284</v>
      </c>
      <c r="J37" s="8">
        <v>30</v>
      </c>
      <c r="K37" s="8">
        <v>0</v>
      </c>
      <c r="L37" s="8">
        <v>600</v>
      </c>
      <c r="M37" s="8">
        <v>39</v>
      </c>
      <c r="N37" s="8">
        <v>-639</v>
      </c>
    </row>
    <row r="38" spans="1:24" ht="17.25" thickBot="1">
      <c r="O38" s="13" t="s">
        <v>143</v>
      </c>
      <c r="P38" s="14" t="s">
        <v>145</v>
      </c>
      <c r="Q38" s="19" t="s">
        <v>147</v>
      </c>
    </row>
    <row r="39" spans="1:24" ht="17.25" thickBot="1">
      <c r="O39" s="31" t="str">
        <f>TEXT(((M34+M31)/(L34+L31))*100, "0.00")&amp;"%"</f>
        <v>2.72%</v>
      </c>
      <c r="P39" s="32" t="str">
        <f>TEXT(((M19+M16+M13)/(L19+L16+L13))*100, "0.00")&amp;"%"</f>
        <v>1.79%</v>
      </c>
      <c r="Q39" s="33" t="str">
        <f>TEXT(((M28+M25+M22)/(L28+L25+L22))*100, "0.00")&amp;"%"</f>
        <v>1.96%</v>
      </c>
    </row>
    <row r="41" spans="1:24" ht="17.25" thickBot="1"/>
    <row r="42" spans="1:24" ht="17.25" thickBot="1">
      <c r="Q42" s="44" t="s">
        <v>149</v>
      </c>
      <c r="R42" s="53"/>
      <c r="S42" s="53"/>
      <c r="T42" s="54"/>
      <c r="U42" s="30" t="s">
        <v>138</v>
      </c>
      <c r="V42" s="49" t="s">
        <v>136</v>
      </c>
      <c r="W42" s="51"/>
      <c r="X42" s="52"/>
    </row>
    <row r="43" spans="1:24" ht="17.25" thickBot="1">
      <c r="Q43" s="40" t="s">
        <v>155</v>
      </c>
      <c r="R43" s="42"/>
      <c r="S43" s="18" t="s">
        <v>156</v>
      </c>
      <c r="T43" s="16" t="s">
        <v>157</v>
      </c>
      <c r="U43" s="47" t="s">
        <v>154</v>
      </c>
      <c r="V43" s="24" t="s">
        <v>150</v>
      </c>
      <c r="W43" s="24" t="s">
        <v>151</v>
      </c>
      <c r="X43" s="24" t="s">
        <v>152</v>
      </c>
    </row>
    <row r="44" spans="1:24" ht="17.25" thickBot="1">
      <c r="Q44" s="17" t="s">
        <v>158</v>
      </c>
      <c r="R44" s="12" t="s">
        <v>159</v>
      </c>
      <c r="S44" s="17" t="s">
        <v>160</v>
      </c>
      <c r="T44" s="12" t="s">
        <v>161</v>
      </c>
      <c r="U44" s="48"/>
      <c r="V44" s="25" t="s">
        <v>162</v>
      </c>
      <c r="W44" s="25" t="s">
        <v>163</v>
      </c>
      <c r="X44" s="25" t="s">
        <v>164</v>
      </c>
    </row>
  </sheetData>
  <mergeCells count="55">
    <mergeCell ref="Q43:R43"/>
    <mergeCell ref="U43:U44"/>
    <mergeCell ref="Q42:T42"/>
    <mergeCell ref="V42:X42"/>
    <mergeCell ref="O32:P32"/>
    <mergeCell ref="S32:S33"/>
    <mergeCell ref="O34:R34"/>
    <mergeCell ref="T34:V34"/>
    <mergeCell ref="O35:P35"/>
    <mergeCell ref="S35:S36"/>
    <mergeCell ref="O28:R28"/>
    <mergeCell ref="T28:V28"/>
    <mergeCell ref="O29:P29"/>
    <mergeCell ref="S29:S30"/>
    <mergeCell ref="O31:R31"/>
    <mergeCell ref="T31:V31"/>
    <mergeCell ref="O23:P23"/>
    <mergeCell ref="S23:S24"/>
    <mergeCell ref="O25:R25"/>
    <mergeCell ref="T25:V25"/>
    <mergeCell ref="O26:P26"/>
    <mergeCell ref="S26:S27"/>
    <mergeCell ref="O19:R19"/>
    <mergeCell ref="T19:V19"/>
    <mergeCell ref="O20:P20"/>
    <mergeCell ref="S20:S21"/>
    <mergeCell ref="O22:R22"/>
    <mergeCell ref="T22:V22"/>
    <mergeCell ref="O14:P14"/>
    <mergeCell ref="S14:S15"/>
    <mergeCell ref="O16:R16"/>
    <mergeCell ref="T16:V16"/>
    <mergeCell ref="O17:P17"/>
    <mergeCell ref="S17:S18"/>
    <mergeCell ref="O10:R10"/>
    <mergeCell ref="T10:V10"/>
    <mergeCell ref="O11:P11"/>
    <mergeCell ref="S11:S12"/>
    <mergeCell ref="O13:R13"/>
    <mergeCell ref="T13:V13"/>
    <mergeCell ref="T4:V4"/>
    <mergeCell ref="O5:P5"/>
    <mergeCell ref="S5:S6"/>
    <mergeCell ref="G1:G2"/>
    <mergeCell ref="H1:K1"/>
    <mergeCell ref="L1:L2"/>
    <mergeCell ref="M1:M2"/>
    <mergeCell ref="N1:N2"/>
    <mergeCell ref="O4:R4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E2BB-2760-4A52-9A90-089ACC58326B}">
  <dimension ref="A1:L264"/>
  <sheetViews>
    <sheetView tabSelected="1" zoomScale="70" zoomScaleNormal="70" workbookViewId="0">
      <selection activeCell="N247" sqref="N247"/>
    </sheetView>
  </sheetViews>
  <sheetFormatPr defaultRowHeight="16.5"/>
  <cols>
    <col min="1" max="31" width="18.625" style="64" customWidth="1"/>
    <col min="32" max="16384" width="9" style="64"/>
  </cols>
  <sheetData>
    <row r="1" spans="2:5" ht="17.25" thickBot="1"/>
    <row r="2" spans="2:5" ht="17.25" thickBot="1">
      <c r="B2" s="88" t="s">
        <v>191</v>
      </c>
    </row>
    <row r="3" spans="2:5" ht="34.5" customHeight="1" thickBot="1">
      <c r="B3" s="89" t="s">
        <v>199</v>
      </c>
      <c r="C3" s="90"/>
      <c r="D3" s="91"/>
    </row>
    <row r="4" spans="2:5" ht="17.25" thickBot="1"/>
    <row r="5" spans="2:5" ht="39" thickBot="1">
      <c r="B5" s="110" t="s">
        <v>186</v>
      </c>
      <c r="C5" s="111"/>
      <c r="D5" s="112"/>
    </row>
    <row r="6" spans="2:5" ht="17.25" customHeight="1">
      <c r="B6" s="79" t="s">
        <v>142</v>
      </c>
      <c r="C6" s="79" t="s">
        <v>144</v>
      </c>
      <c r="D6" s="79" t="s">
        <v>146</v>
      </c>
    </row>
    <row r="7" spans="2:5" ht="17.25" customHeight="1" thickBot="1">
      <c r="B7" s="80">
        <v>1.4E-2</v>
      </c>
      <c r="C7" s="81">
        <v>9.7000000000000003E-3</v>
      </c>
      <c r="D7" s="81">
        <v>1.2999999999999999E-2</v>
      </c>
    </row>
    <row r="8" spans="2:5" ht="17.25" thickBot="1"/>
    <row r="9" spans="2:5" ht="17.25" thickBot="1">
      <c r="B9" s="35" t="s">
        <v>193</v>
      </c>
      <c r="C9" s="36"/>
      <c r="D9" s="37"/>
    </row>
    <row r="10" spans="2:5">
      <c r="B10" s="79" t="s">
        <v>192</v>
      </c>
      <c r="C10" s="79" t="s">
        <v>195</v>
      </c>
      <c r="D10" s="79" t="s">
        <v>196</v>
      </c>
    </row>
    <row r="11" spans="2:5" ht="17.25" thickBot="1">
      <c r="B11" s="94">
        <v>0.52160612523161909</v>
      </c>
      <c r="C11" s="94">
        <v>0.50966967675933028</v>
      </c>
      <c r="D11" s="105">
        <v>0.52334024896265563</v>
      </c>
      <c r="E11" s="95"/>
    </row>
    <row r="12" spans="2:5" ht="17.25" thickBot="1">
      <c r="B12" s="95"/>
      <c r="C12" s="95"/>
      <c r="D12" s="95"/>
      <c r="E12" s="95"/>
    </row>
    <row r="13" spans="2:5" ht="17.25" thickBot="1">
      <c r="B13" s="96" t="s">
        <v>197</v>
      </c>
      <c r="C13" s="97"/>
      <c r="D13" s="98"/>
      <c r="E13" s="95"/>
    </row>
    <row r="14" spans="2:5">
      <c r="B14" s="99" t="s">
        <v>192</v>
      </c>
      <c r="C14" s="99" t="s">
        <v>195</v>
      </c>
      <c r="D14" s="99" t="s">
        <v>196</v>
      </c>
      <c r="E14" s="95"/>
    </row>
    <row r="15" spans="2:5" ht="17.25" thickBot="1">
      <c r="B15" s="94">
        <v>0.47839387476838097</v>
      </c>
      <c r="C15" s="94">
        <v>0.49033032324066972</v>
      </c>
      <c r="D15" s="94">
        <v>0.47665975103734443</v>
      </c>
      <c r="E15" s="95"/>
    </row>
    <row r="16" spans="2:5" ht="17.25" thickBot="1"/>
    <row r="17" spans="2:8" ht="17.25" thickBot="1">
      <c r="B17" s="44" t="s">
        <v>6</v>
      </c>
      <c r="C17" s="45"/>
      <c r="D17" s="45"/>
      <c r="E17" s="46"/>
      <c r="F17" s="76" t="s">
        <v>202</v>
      </c>
      <c r="G17" s="49" t="s">
        <v>203</v>
      </c>
      <c r="H17" s="50"/>
    </row>
    <row r="18" spans="2:8" ht="17.25" thickBot="1">
      <c r="B18" s="49" t="s">
        <v>204</v>
      </c>
      <c r="C18" s="50"/>
      <c r="D18" s="70" t="s">
        <v>205</v>
      </c>
      <c r="E18" s="68" t="s">
        <v>206</v>
      </c>
      <c r="F18" s="47" t="s">
        <v>207</v>
      </c>
      <c r="G18" s="77" t="s">
        <v>3</v>
      </c>
      <c r="H18" s="77" t="s">
        <v>4</v>
      </c>
    </row>
    <row r="19" spans="2:8" ht="17.25" thickBot="1">
      <c r="B19" s="69" t="s">
        <v>208</v>
      </c>
      <c r="C19" s="65" t="s">
        <v>209</v>
      </c>
      <c r="D19" s="69" t="s">
        <v>210</v>
      </c>
      <c r="E19" s="65" t="s">
        <v>211</v>
      </c>
      <c r="F19" s="48"/>
      <c r="G19" s="74" t="s">
        <v>212</v>
      </c>
      <c r="H19" s="74" t="s">
        <v>213</v>
      </c>
    </row>
    <row r="20" spans="2:8" ht="17.25" thickBot="1">
      <c r="B20" s="44" t="s">
        <v>443</v>
      </c>
      <c r="C20" s="45"/>
      <c r="D20" s="45"/>
      <c r="E20" s="46"/>
      <c r="F20" s="76"/>
      <c r="G20" s="82"/>
      <c r="H20" s="83"/>
    </row>
    <row r="21" spans="2:8" ht="17.25" thickBot="1">
      <c r="B21" s="49" t="s">
        <v>214</v>
      </c>
      <c r="C21" s="50"/>
      <c r="D21" s="70" t="s">
        <v>215</v>
      </c>
      <c r="E21" s="68" t="s">
        <v>216</v>
      </c>
      <c r="F21" s="47" t="s">
        <v>217</v>
      </c>
      <c r="G21" s="77" t="s">
        <v>3</v>
      </c>
      <c r="H21" s="77" t="s">
        <v>4</v>
      </c>
    </row>
    <row r="22" spans="2:8" ht="17.25" thickBot="1">
      <c r="B22" s="69" t="s">
        <v>218</v>
      </c>
      <c r="C22" s="65" t="s">
        <v>219</v>
      </c>
      <c r="D22" s="69" t="s">
        <v>220</v>
      </c>
      <c r="E22" s="65" t="s">
        <v>221</v>
      </c>
      <c r="F22" s="48"/>
      <c r="G22" s="74" t="s">
        <v>222</v>
      </c>
      <c r="H22" s="74" t="s">
        <v>223</v>
      </c>
    </row>
    <row r="23" spans="2:8" ht="17.25" thickBot="1">
      <c r="B23" s="44" t="s">
        <v>13</v>
      </c>
      <c r="C23" s="45"/>
      <c r="D23" s="45"/>
      <c r="E23" s="46"/>
      <c r="F23" s="76"/>
      <c r="G23" s="82"/>
      <c r="H23" s="83"/>
    </row>
    <row r="24" spans="2:8" ht="17.25" thickBot="1">
      <c r="B24" s="49" t="s">
        <v>224</v>
      </c>
      <c r="C24" s="50"/>
      <c r="D24" s="70" t="s">
        <v>225</v>
      </c>
      <c r="E24" s="68" t="s">
        <v>226</v>
      </c>
      <c r="F24" s="47" t="s">
        <v>217</v>
      </c>
      <c r="G24" s="77" t="s">
        <v>3</v>
      </c>
      <c r="H24" s="77" t="s">
        <v>4</v>
      </c>
    </row>
    <row r="25" spans="2:8" ht="17.25" thickBot="1">
      <c r="B25" s="69" t="s">
        <v>227</v>
      </c>
      <c r="C25" s="65" t="s">
        <v>228</v>
      </c>
      <c r="D25" s="69" t="s">
        <v>229</v>
      </c>
      <c r="E25" s="65" t="s">
        <v>230</v>
      </c>
      <c r="F25" s="48"/>
      <c r="G25" s="74" t="s">
        <v>231</v>
      </c>
      <c r="H25" s="74" t="s">
        <v>232</v>
      </c>
    </row>
    <row r="26" spans="2:8" ht="17.25" thickBot="1">
      <c r="B26" s="44" t="s">
        <v>14</v>
      </c>
      <c r="C26" s="45"/>
      <c r="D26" s="45"/>
      <c r="E26" s="46"/>
      <c r="F26" s="76"/>
      <c r="G26" s="82"/>
      <c r="H26" s="83"/>
    </row>
    <row r="27" spans="2:8" ht="17.25" thickBot="1">
      <c r="B27" s="49" t="s">
        <v>233</v>
      </c>
      <c r="C27" s="50"/>
      <c r="D27" s="70" t="s">
        <v>234</v>
      </c>
      <c r="E27" s="68" t="s">
        <v>235</v>
      </c>
      <c r="F27" s="47" t="s">
        <v>195</v>
      </c>
      <c r="G27" s="77" t="s">
        <v>3</v>
      </c>
      <c r="H27" s="77" t="s">
        <v>4</v>
      </c>
    </row>
    <row r="28" spans="2:8" ht="17.25" thickBot="1">
      <c r="B28" s="69" t="s">
        <v>236</v>
      </c>
      <c r="C28" s="65" t="s">
        <v>237</v>
      </c>
      <c r="D28" s="69" t="s">
        <v>238</v>
      </c>
      <c r="E28" s="65" t="s">
        <v>239</v>
      </c>
      <c r="F28" s="48"/>
      <c r="G28" s="74" t="s">
        <v>240</v>
      </c>
      <c r="H28" s="74" t="s">
        <v>241</v>
      </c>
    </row>
    <row r="29" spans="2:8" ht="17.25" thickBot="1">
      <c r="B29" s="44" t="s">
        <v>15</v>
      </c>
      <c r="C29" s="45"/>
      <c r="D29" s="45"/>
      <c r="E29" s="46"/>
      <c r="F29" s="76"/>
      <c r="G29" s="82"/>
      <c r="H29" s="83"/>
    </row>
    <row r="30" spans="2:8" ht="17.25" thickBot="1">
      <c r="B30" s="49" t="s">
        <v>242</v>
      </c>
      <c r="C30" s="50"/>
      <c r="D30" s="70" t="s">
        <v>243</v>
      </c>
      <c r="E30" s="68" t="s">
        <v>244</v>
      </c>
      <c r="F30" s="47" t="s">
        <v>195</v>
      </c>
      <c r="G30" s="77" t="s">
        <v>3</v>
      </c>
      <c r="H30" s="77" t="s">
        <v>4</v>
      </c>
    </row>
    <row r="31" spans="2:8" ht="17.25" thickBot="1">
      <c r="B31" s="69" t="s">
        <v>245</v>
      </c>
      <c r="C31" s="65" t="s">
        <v>246</v>
      </c>
      <c r="D31" s="69" t="s">
        <v>247</v>
      </c>
      <c r="E31" s="65" t="s">
        <v>248</v>
      </c>
      <c r="F31" s="48"/>
      <c r="G31" s="74" t="s">
        <v>249</v>
      </c>
      <c r="H31" s="74" t="s">
        <v>250</v>
      </c>
    </row>
    <row r="32" spans="2:8" ht="17.25" thickBot="1">
      <c r="B32" s="44" t="s">
        <v>16</v>
      </c>
      <c r="C32" s="45"/>
      <c r="D32" s="45"/>
      <c r="E32" s="46"/>
      <c r="F32" s="76"/>
      <c r="G32" s="82"/>
      <c r="H32" s="83"/>
    </row>
    <row r="33" spans="2:8" ht="17.25" thickBot="1">
      <c r="B33" s="49" t="s">
        <v>251</v>
      </c>
      <c r="C33" s="50"/>
      <c r="D33" s="70" t="s">
        <v>252</v>
      </c>
      <c r="E33" s="68" t="s">
        <v>253</v>
      </c>
      <c r="F33" s="47" t="s">
        <v>195</v>
      </c>
      <c r="G33" s="77" t="s">
        <v>3</v>
      </c>
      <c r="H33" s="77" t="s">
        <v>4</v>
      </c>
    </row>
    <row r="34" spans="2:8" ht="17.25" thickBot="1">
      <c r="B34" s="69" t="s">
        <v>254</v>
      </c>
      <c r="C34" s="65" t="s">
        <v>255</v>
      </c>
      <c r="D34" s="69" t="s">
        <v>256</v>
      </c>
      <c r="E34" s="65" t="s">
        <v>257</v>
      </c>
      <c r="F34" s="48"/>
      <c r="G34" s="74" t="s">
        <v>258</v>
      </c>
      <c r="H34" s="74" t="s">
        <v>259</v>
      </c>
    </row>
    <row r="35" spans="2:8" ht="17.25" thickBot="1">
      <c r="B35" s="44" t="s">
        <v>17</v>
      </c>
      <c r="C35" s="45"/>
      <c r="D35" s="45"/>
      <c r="E35" s="46"/>
      <c r="F35" s="76"/>
      <c r="G35" s="82"/>
      <c r="H35" s="83"/>
    </row>
    <row r="36" spans="2:8" ht="17.25" thickBot="1">
      <c r="B36" s="49" t="s">
        <v>260</v>
      </c>
      <c r="C36" s="50"/>
      <c r="D36" s="70" t="s">
        <v>261</v>
      </c>
      <c r="E36" s="68" t="s">
        <v>262</v>
      </c>
      <c r="F36" s="47" t="s">
        <v>196</v>
      </c>
      <c r="G36" s="77" t="s">
        <v>3</v>
      </c>
      <c r="H36" s="77" t="s">
        <v>4</v>
      </c>
    </row>
    <row r="37" spans="2:8" ht="17.25" thickBot="1">
      <c r="B37" s="69" t="s">
        <v>263</v>
      </c>
      <c r="C37" s="65" t="s">
        <v>264</v>
      </c>
      <c r="D37" s="69" t="s">
        <v>265</v>
      </c>
      <c r="E37" s="65" t="s">
        <v>266</v>
      </c>
      <c r="F37" s="48"/>
      <c r="G37" s="74" t="s">
        <v>267</v>
      </c>
      <c r="H37" s="74" t="s">
        <v>268</v>
      </c>
    </row>
    <row r="38" spans="2:8" ht="17.25" thickBot="1">
      <c r="B38" s="44" t="s">
        <v>18</v>
      </c>
      <c r="C38" s="45"/>
      <c r="D38" s="45"/>
      <c r="E38" s="46"/>
      <c r="F38" s="76"/>
      <c r="G38" s="82"/>
      <c r="H38" s="83"/>
    </row>
    <row r="39" spans="2:8" ht="17.25" thickBot="1">
      <c r="B39" s="49" t="s">
        <v>269</v>
      </c>
      <c r="C39" s="50"/>
      <c r="D39" s="70" t="s">
        <v>270</v>
      </c>
      <c r="E39" s="68" t="s">
        <v>271</v>
      </c>
      <c r="F39" s="47" t="s">
        <v>196</v>
      </c>
      <c r="G39" s="77" t="s">
        <v>3</v>
      </c>
      <c r="H39" s="77" t="s">
        <v>4</v>
      </c>
    </row>
    <row r="40" spans="2:8" ht="17.25" thickBot="1">
      <c r="B40" s="69" t="s">
        <v>272</v>
      </c>
      <c r="C40" s="65" t="s">
        <v>273</v>
      </c>
      <c r="D40" s="69" t="s">
        <v>274</v>
      </c>
      <c r="E40" s="65" t="s">
        <v>275</v>
      </c>
      <c r="F40" s="48"/>
      <c r="G40" s="74" t="s">
        <v>276</v>
      </c>
      <c r="H40" s="74" t="s">
        <v>277</v>
      </c>
    </row>
    <row r="41" spans="2:8" ht="17.25" thickBot="1">
      <c r="B41" s="44" t="s">
        <v>19</v>
      </c>
      <c r="C41" s="45"/>
      <c r="D41" s="45"/>
      <c r="E41" s="46"/>
      <c r="F41" s="76"/>
      <c r="G41" s="82"/>
      <c r="H41" s="83"/>
    </row>
    <row r="42" spans="2:8" ht="17.25" thickBot="1">
      <c r="B42" s="49" t="s">
        <v>278</v>
      </c>
      <c r="C42" s="50"/>
      <c r="D42" s="70" t="s">
        <v>279</v>
      </c>
      <c r="E42" s="68" t="s">
        <v>280</v>
      </c>
      <c r="F42" s="47" t="s">
        <v>196</v>
      </c>
      <c r="G42" s="77" t="s">
        <v>3</v>
      </c>
      <c r="H42" s="77" t="s">
        <v>4</v>
      </c>
    </row>
    <row r="43" spans="2:8" ht="17.25" thickBot="1">
      <c r="B43" s="69" t="s">
        <v>281</v>
      </c>
      <c r="C43" s="65" t="s">
        <v>282</v>
      </c>
      <c r="D43" s="69" t="s">
        <v>283</v>
      </c>
      <c r="E43" s="65" t="s">
        <v>284</v>
      </c>
      <c r="F43" s="48"/>
      <c r="G43" s="74" t="s">
        <v>285</v>
      </c>
      <c r="H43" s="74" t="s">
        <v>286</v>
      </c>
    </row>
    <row r="44" spans="2:8" ht="17.25" thickBot="1">
      <c r="B44" s="44" t="s">
        <v>20</v>
      </c>
      <c r="C44" s="45"/>
      <c r="D44" s="45"/>
      <c r="E44" s="46"/>
      <c r="F44" s="76"/>
      <c r="G44" s="82"/>
      <c r="H44" s="83"/>
    </row>
    <row r="45" spans="2:8" ht="17.25" thickBot="1">
      <c r="B45" s="49" t="s">
        <v>287</v>
      </c>
      <c r="C45" s="50"/>
      <c r="D45" s="70" t="s">
        <v>288</v>
      </c>
      <c r="E45" s="68" t="s">
        <v>289</v>
      </c>
      <c r="F45" s="47" t="s">
        <v>192</v>
      </c>
      <c r="G45" s="77" t="s">
        <v>3</v>
      </c>
      <c r="H45" s="77" t="s">
        <v>4</v>
      </c>
    </row>
    <row r="46" spans="2:8" ht="17.25" thickBot="1">
      <c r="B46" s="69" t="s">
        <v>290</v>
      </c>
      <c r="C46" s="65" t="s">
        <v>291</v>
      </c>
      <c r="D46" s="69" t="s">
        <v>292</v>
      </c>
      <c r="E46" s="65" t="s">
        <v>293</v>
      </c>
      <c r="F46" s="48"/>
      <c r="G46" s="74" t="s">
        <v>294</v>
      </c>
      <c r="H46" s="74" t="s">
        <v>295</v>
      </c>
    </row>
    <row r="47" spans="2:8" ht="17.25" thickBot="1">
      <c r="B47" s="44" t="s">
        <v>21</v>
      </c>
      <c r="C47" s="45"/>
      <c r="D47" s="45"/>
      <c r="E47" s="46"/>
      <c r="F47" s="76"/>
      <c r="G47" s="82"/>
      <c r="H47" s="83"/>
    </row>
    <row r="48" spans="2:8" ht="17.25" thickBot="1">
      <c r="B48" s="49" t="s">
        <v>296</v>
      </c>
      <c r="C48" s="50"/>
      <c r="D48" s="70" t="s">
        <v>297</v>
      </c>
      <c r="E48" s="68" t="s">
        <v>298</v>
      </c>
      <c r="F48" s="47" t="s">
        <v>192</v>
      </c>
      <c r="G48" s="77" t="s">
        <v>3</v>
      </c>
      <c r="H48" s="77" t="s">
        <v>4</v>
      </c>
    </row>
    <row r="49" spans="2:8" ht="17.25" thickBot="1">
      <c r="B49" s="69" t="s">
        <v>299</v>
      </c>
      <c r="C49" s="65" t="s">
        <v>300</v>
      </c>
      <c r="D49" s="69" t="s">
        <v>301</v>
      </c>
      <c r="E49" s="65" t="s">
        <v>302</v>
      </c>
      <c r="F49" s="48"/>
      <c r="G49" s="74" t="s">
        <v>303</v>
      </c>
      <c r="H49" s="74" t="s">
        <v>304</v>
      </c>
    </row>
    <row r="56" spans="2:8" ht="17.25" thickBot="1"/>
    <row r="57" spans="2:8" ht="39" thickBot="1">
      <c r="B57" s="110" t="s">
        <v>187</v>
      </c>
      <c r="C57" s="111"/>
      <c r="D57" s="112"/>
    </row>
    <row r="58" spans="2:8" ht="17.25" customHeight="1">
      <c r="B58" s="79" t="s">
        <v>142</v>
      </c>
      <c r="C58" s="79" t="s">
        <v>144</v>
      </c>
      <c r="D58" s="79" t="s">
        <v>146</v>
      </c>
    </row>
    <row r="59" spans="2:8" ht="16.5" customHeight="1" thickBot="1">
      <c r="B59" s="80">
        <v>1.2E-2</v>
      </c>
      <c r="C59" s="81">
        <v>7.6E-3</v>
      </c>
      <c r="D59" s="81">
        <v>9.4999999999999998E-3</v>
      </c>
    </row>
    <row r="60" spans="2:8" ht="17.25" thickBot="1"/>
    <row r="61" spans="2:8" ht="17.25" thickBot="1">
      <c r="B61" s="58" t="s">
        <v>193</v>
      </c>
      <c r="C61" s="59"/>
      <c r="D61" s="60"/>
    </row>
    <row r="62" spans="2:8">
      <c r="B62" s="79" t="s">
        <v>192</v>
      </c>
      <c r="C62" s="79" t="s">
        <v>195</v>
      </c>
      <c r="D62" s="79" t="s">
        <v>196</v>
      </c>
    </row>
    <row r="63" spans="2:8" ht="17.25" thickBot="1">
      <c r="B63" s="94">
        <v>0.53204882301656498</v>
      </c>
      <c r="C63" s="94">
        <v>0.51750370072642071</v>
      </c>
      <c r="D63" s="105">
        <v>0.52573852646386499</v>
      </c>
    </row>
    <row r="64" spans="2:8" ht="17.25" thickBot="1">
      <c r="B64" s="95"/>
      <c r="C64" s="95"/>
      <c r="D64" s="95"/>
    </row>
    <row r="65" spans="2:12" ht="17.25" thickBot="1">
      <c r="B65" s="101" t="s">
        <v>197</v>
      </c>
      <c r="C65" s="102"/>
      <c r="D65" s="103"/>
    </row>
    <row r="66" spans="2:12">
      <c r="B66" s="99" t="s">
        <v>192</v>
      </c>
      <c r="C66" s="99" t="s">
        <v>195</v>
      </c>
      <c r="D66" s="99" t="s">
        <v>196</v>
      </c>
    </row>
    <row r="67" spans="2:12" ht="17.25" thickBot="1">
      <c r="B67" s="94">
        <v>0.44800348735832607</v>
      </c>
      <c r="C67" s="94">
        <v>0.4646641897124707</v>
      </c>
      <c r="D67" s="94">
        <v>0.45441357481976435</v>
      </c>
    </row>
    <row r="68" spans="2:12" ht="17.25" thickBot="1"/>
    <row r="69" spans="2:12" ht="17.25" thickBot="1">
      <c r="B69" s="44" t="s">
        <v>6</v>
      </c>
      <c r="C69" s="45"/>
      <c r="D69" s="45"/>
      <c r="E69" s="46"/>
      <c r="F69" s="76" t="s">
        <v>202</v>
      </c>
      <c r="G69" s="49" t="s">
        <v>203</v>
      </c>
      <c r="H69" s="51"/>
      <c r="I69" s="51"/>
      <c r="J69" s="51"/>
      <c r="K69" s="51"/>
      <c r="L69" s="50"/>
    </row>
    <row r="70" spans="2:12" ht="17.25" thickBot="1">
      <c r="B70" s="49" t="s">
        <v>305</v>
      </c>
      <c r="C70" s="50"/>
      <c r="D70" s="70" t="s">
        <v>306</v>
      </c>
      <c r="E70" s="68" t="s">
        <v>307</v>
      </c>
      <c r="F70" s="47" t="s">
        <v>207</v>
      </c>
      <c r="G70" s="77" t="s">
        <v>101</v>
      </c>
      <c r="H70" s="77" t="s">
        <v>102</v>
      </c>
      <c r="I70" s="77" t="s">
        <v>103</v>
      </c>
      <c r="J70" s="77" t="s">
        <v>104</v>
      </c>
      <c r="K70" s="77" t="s">
        <v>105</v>
      </c>
      <c r="L70" s="77" t="s">
        <v>106</v>
      </c>
    </row>
    <row r="71" spans="2:12" ht="17.25" thickBot="1">
      <c r="B71" s="69" t="s">
        <v>208</v>
      </c>
      <c r="C71" s="65" t="s">
        <v>209</v>
      </c>
      <c r="D71" s="69" t="s">
        <v>308</v>
      </c>
      <c r="E71" s="65" t="s">
        <v>309</v>
      </c>
      <c r="F71" s="48"/>
      <c r="G71" s="74" t="s">
        <v>310</v>
      </c>
      <c r="H71" s="74" t="s">
        <v>311</v>
      </c>
      <c r="I71" s="74" t="s">
        <v>312</v>
      </c>
      <c r="J71" s="74" t="s">
        <v>313</v>
      </c>
      <c r="K71" s="74" t="s">
        <v>314</v>
      </c>
      <c r="L71" s="74" t="s">
        <v>315</v>
      </c>
    </row>
    <row r="72" spans="2:12" ht="17.25" thickBot="1">
      <c r="B72" s="44" t="s">
        <v>9</v>
      </c>
      <c r="C72" s="45"/>
      <c r="D72" s="45"/>
      <c r="E72" s="46"/>
      <c r="F72" s="76"/>
      <c r="G72" s="82"/>
      <c r="H72" s="84"/>
      <c r="I72" s="84"/>
      <c r="J72" s="84"/>
      <c r="K72" s="84"/>
      <c r="L72" s="83"/>
    </row>
    <row r="73" spans="2:12" ht="17.25" thickBot="1">
      <c r="B73" s="49" t="s">
        <v>316</v>
      </c>
      <c r="C73" s="50"/>
      <c r="D73" s="70" t="s">
        <v>317</v>
      </c>
      <c r="E73" s="68" t="s">
        <v>318</v>
      </c>
      <c r="F73" s="47" t="s">
        <v>217</v>
      </c>
      <c r="G73" s="77" t="s">
        <v>101</v>
      </c>
      <c r="H73" s="77" t="s">
        <v>102</v>
      </c>
      <c r="I73" s="77" t="s">
        <v>103</v>
      </c>
      <c r="J73" s="77" t="s">
        <v>104</v>
      </c>
      <c r="K73" s="77" t="s">
        <v>105</v>
      </c>
      <c r="L73" s="77" t="s">
        <v>106</v>
      </c>
    </row>
    <row r="74" spans="2:12" ht="17.25" thickBot="1">
      <c r="B74" s="69" t="s">
        <v>319</v>
      </c>
      <c r="C74" s="65" t="s">
        <v>320</v>
      </c>
      <c r="D74" s="69" t="s">
        <v>321</v>
      </c>
      <c r="E74" s="65" t="s">
        <v>322</v>
      </c>
      <c r="F74" s="48"/>
      <c r="G74" s="74" t="s">
        <v>323</v>
      </c>
      <c r="H74" s="74" t="s">
        <v>324</v>
      </c>
      <c r="I74" s="74" t="s">
        <v>325</v>
      </c>
      <c r="J74" s="74" t="s">
        <v>326</v>
      </c>
      <c r="K74" s="74" t="s">
        <v>327</v>
      </c>
      <c r="L74" s="74" t="s">
        <v>328</v>
      </c>
    </row>
    <row r="75" spans="2:12" ht="17.25" thickBot="1">
      <c r="B75" s="44" t="s">
        <v>13</v>
      </c>
      <c r="C75" s="45"/>
      <c r="D75" s="45"/>
      <c r="E75" s="46"/>
      <c r="F75" s="76"/>
      <c r="G75" s="82"/>
      <c r="H75" s="84"/>
      <c r="I75" s="84"/>
      <c r="J75" s="84"/>
      <c r="K75" s="84"/>
      <c r="L75" s="83"/>
    </row>
    <row r="76" spans="2:12" ht="17.25" thickBot="1">
      <c r="B76" s="49" t="s">
        <v>329</v>
      </c>
      <c r="C76" s="50"/>
      <c r="D76" s="70" t="s">
        <v>330</v>
      </c>
      <c r="E76" s="68" t="s">
        <v>331</v>
      </c>
      <c r="F76" s="47" t="s">
        <v>217</v>
      </c>
      <c r="G76" s="77" t="s">
        <v>101</v>
      </c>
      <c r="H76" s="77" t="s">
        <v>102</v>
      </c>
      <c r="I76" s="77" t="s">
        <v>103</v>
      </c>
      <c r="J76" s="77" t="s">
        <v>104</v>
      </c>
      <c r="K76" s="77" t="s">
        <v>105</v>
      </c>
      <c r="L76" s="77" t="s">
        <v>106</v>
      </c>
    </row>
    <row r="77" spans="2:12" ht="17.25" thickBot="1">
      <c r="B77" s="69" t="s">
        <v>332</v>
      </c>
      <c r="C77" s="65" t="s">
        <v>333</v>
      </c>
      <c r="D77" s="69" t="s">
        <v>334</v>
      </c>
      <c r="E77" s="65" t="s">
        <v>335</v>
      </c>
      <c r="F77" s="48"/>
      <c r="G77" s="74" t="s">
        <v>336</v>
      </c>
      <c r="H77" s="74" t="s">
        <v>337</v>
      </c>
      <c r="I77" s="74" t="s">
        <v>338</v>
      </c>
      <c r="J77" s="74" t="s">
        <v>339</v>
      </c>
      <c r="K77" s="74" t="s">
        <v>340</v>
      </c>
      <c r="L77" s="74" t="s">
        <v>341</v>
      </c>
    </row>
    <row r="78" spans="2:12" ht="17.25" thickBot="1">
      <c r="B78" s="44" t="s">
        <v>14</v>
      </c>
      <c r="C78" s="45"/>
      <c r="D78" s="45"/>
      <c r="E78" s="46"/>
      <c r="F78" s="76"/>
      <c r="G78" s="82"/>
      <c r="H78" s="84"/>
      <c r="I78" s="84"/>
      <c r="J78" s="84"/>
      <c r="K78" s="84"/>
      <c r="L78" s="83"/>
    </row>
    <row r="79" spans="2:12" ht="17.25" thickBot="1">
      <c r="B79" s="49" t="s">
        <v>342</v>
      </c>
      <c r="C79" s="50"/>
      <c r="D79" s="70" t="s">
        <v>343</v>
      </c>
      <c r="E79" s="68" t="s">
        <v>344</v>
      </c>
      <c r="F79" s="47" t="s">
        <v>195</v>
      </c>
      <c r="G79" s="77" t="s">
        <v>101</v>
      </c>
      <c r="H79" s="77" t="s">
        <v>102</v>
      </c>
      <c r="I79" s="77" t="s">
        <v>103</v>
      </c>
      <c r="J79" s="77" t="s">
        <v>104</v>
      </c>
      <c r="K79" s="77" t="s">
        <v>105</v>
      </c>
      <c r="L79" s="77" t="s">
        <v>106</v>
      </c>
    </row>
    <row r="80" spans="2:12" ht="17.25" thickBot="1">
      <c r="B80" s="69" t="s">
        <v>345</v>
      </c>
      <c r="C80" s="65" t="s">
        <v>346</v>
      </c>
      <c r="D80" s="69" t="s">
        <v>308</v>
      </c>
      <c r="E80" s="65" t="s">
        <v>309</v>
      </c>
      <c r="F80" s="48"/>
      <c r="G80" s="74" t="s">
        <v>347</v>
      </c>
      <c r="H80" s="74" t="s">
        <v>348</v>
      </c>
      <c r="I80" s="74" t="s">
        <v>349</v>
      </c>
      <c r="J80" s="74" t="s">
        <v>350</v>
      </c>
      <c r="K80" s="74" t="s">
        <v>351</v>
      </c>
      <c r="L80" s="74" t="s">
        <v>352</v>
      </c>
    </row>
    <row r="81" spans="2:12" ht="17.25" thickBot="1">
      <c r="B81" s="44" t="s">
        <v>15</v>
      </c>
      <c r="C81" s="45"/>
      <c r="D81" s="45"/>
      <c r="E81" s="46"/>
      <c r="F81" s="76"/>
      <c r="G81" s="82"/>
      <c r="H81" s="84"/>
      <c r="I81" s="84"/>
      <c r="J81" s="84"/>
      <c r="K81" s="84"/>
      <c r="L81" s="83"/>
    </row>
    <row r="82" spans="2:12" ht="17.25" thickBot="1">
      <c r="B82" s="49" t="s">
        <v>353</v>
      </c>
      <c r="C82" s="50"/>
      <c r="D82" s="70" t="s">
        <v>354</v>
      </c>
      <c r="E82" s="68" t="s">
        <v>355</v>
      </c>
      <c r="F82" s="47" t="s">
        <v>195</v>
      </c>
      <c r="G82" s="77" t="s">
        <v>101</v>
      </c>
      <c r="H82" s="77" t="s">
        <v>102</v>
      </c>
      <c r="I82" s="77" t="s">
        <v>103</v>
      </c>
      <c r="J82" s="77" t="s">
        <v>104</v>
      </c>
      <c r="K82" s="77" t="s">
        <v>105</v>
      </c>
      <c r="L82" s="77" t="s">
        <v>106</v>
      </c>
    </row>
    <row r="83" spans="2:12" ht="17.25" thickBot="1">
      <c r="B83" s="69" t="s">
        <v>356</v>
      </c>
      <c r="C83" s="65" t="s">
        <v>357</v>
      </c>
      <c r="D83" s="69" t="s">
        <v>358</v>
      </c>
      <c r="E83" s="65" t="s">
        <v>359</v>
      </c>
      <c r="F83" s="48"/>
      <c r="G83" s="74" t="s">
        <v>360</v>
      </c>
      <c r="H83" s="74" t="s">
        <v>361</v>
      </c>
      <c r="I83" s="74" t="s">
        <v>362</v>
      </c>
      <c r="J83" s="74" t="s">
        <v>363</v>
      </c>
      <c r="K83" s="74" t="s">
        <v>364</v>
      </c>
      <c r="L83" s="74" t="s">
        <v>365</v>
      </c>
    </row>
    <row r="84" spans="2:12" ht="17.25" thickBot="1">
      <c r="B84" s="44" t="s">
        <v>16</v>
      </c>
      <c r="C84" s="45"/>
      <c r="D84" s="45"/>
      <c r="E84" s="46"/>
      <c r="F84" s="76"/>
      <c r="G84" s="82"/>
      <c r="H84" s="84"/>
      <c r="I84" s="84"/>
      <c r="J84" s="84"/>
      <c r="K84" s="84"/>
      <c r="L84" s="83"/>
    </row>
    <row r="85" spans="2:12" ht="17.25" thickBot="1">
      <c r="B85" s="49" t="s">
        <v>366</v>
      </c>
      <c r="C85" s="50"/>
      <c r="D85" s="70" t="s">
        <v>367</v>
      </c>
      <c r="E85" s="68" t="s">
        <v>368</v>
      </c>
      <c r="F85" s="47" t="s">
        <v>195</v>
      </c>
      <c r="G85" s="77" t="s">
        <v>101</v>
      </c>
      <c r="H85" s="77" t="s">
        <v>102</v>
      </c>
      <c r="I85" s="77" t="s">
        <v>103</v>
      </c>
      <c r="J85" s="77" t="s">
        <v>104</v>
      </c>
      <c r="K85" s="77" t="s">
        <v>105</v>
      </c>
      <c r="L85" s="77" t="s">
        <v>106</v>
      </c>
    </row>
    <row r="86" spans="2:12" ht="17.25" thickBot="1">
      <c r="B86" s="69" t="s">
        <v>369</v>
      </c>
      <c r="C86" s="65" t="s">
        <v>370</v>
      </c>
      <c r="D86" s="69" t="s">
        <v>371</v>
      </c>
      <c r="E86" s="65" t="s">
        <v>372</v>
      </c>
      <c r="F86" s="48"/>
      <c r="G86" s="74" t="s">
        <v>373</v>
      </c>
      <c r="H86" s="74" t="s">
        <v>374</v>
      </c>
      <c r="I86" s="74" t="s">
        <v>375</v>
      </c>
      <c r="J86" s="74" t="s">
        <v>376</v>
      </c>
      <c r="K86" s="74" t="s">
        <v>377</v>
      </c>
      <c r="L86" s="74" t="s">
        <v>378</v>
      </c>
    </row>
    <row r="87" spans="2:12" ht="17.25" thickBot="1">
      <c r="B87" s="44" t="s">
        <v>17</v>
      </c>
      <c r="C87" s="45"/>
      <c r="D87" s="45"/>
      <c r="E87" s="46"/>
      <c r="F87" s="76"/>
      <c r="G87" s="82"/>
      <c r="H87" s="84"/>
      <c r="I87" s="84"/>
      <c r="J87" s="84"/>
      <c r="K87" s="84"/>
      <c r="L87" s="83"/>
    </row>
    <row r="88" spans="2:12" ht="17.25" thickBot="1">
      <c r="B88" s="49" t="s">
        <v>379</v>
      </c>
      <c r="C88" s="50"/>
      <c r="D88" s="70" t="s">
        <v>380</v>
      </c>
      <c r="E88" s="68" t="s">
        <v>381</v>
      </c>
      <c r="F88" s="47" t="s">
        <v>196</v>
      </c>
      <c r="G88" s="77" t="s">
        <v>101</v>
      </c>
      <c r="H88" s="77" t="s">
        <v>102</v>
      </c>
      <c r="I88" s="77" t="s">
        <v>103</v>
      </c>
      <c r="J88" s="77" t="s">
        <v>104</v>
      </c>
      <c r="K88" s="77" t="s">
        <v>105</v>
      </c>
      <c r="L88" s="77" t="s">
        <v>106</v>
      </c>
    </row>
    <row r="89" spans="2:12" ht="17.25" thickBot="1">
      <c r="B89" s="69" t="s">
        <v>382</v>
      </c>
      <c r="C89" s="65" t="s">
        <v>383</v>
      </c>
      <c r="D89" s="69" t="s">
        <v>238</v>
      </c>
      <c r="E89" s="65" t="s">
        <v>239</v>
      </c>
      <c r="F89" s="48"/>
      <c r="G89" s="74" t="s">
        <v>384</v>
      </c>
      <c r="H89" s="74" t="s">
        <v>385</v>
      </c>
      <c r="I89" s="74" t="s">
        <v>386</v>
      </c>
      <c r="J89" s="74" t="s">
        <v>387</v>
      </c>
      <c r="K89" s="74" t="s">
        <v>388</v>
      </c>
      <c r="L89" s="74" t="s">
        <v>389</v>
      </c>
    </row>
    <row r="90" spans="2:12" ht="17.25" thickBot="1">
      <c r="B90" s="44" t="s">
        <v>18</v>
      </c>
      <c r="C90" s="45"/>
      <c r="D90" s="45"/>
      <c r="E90" s="46"/>
      <c r="F90" s="76"/>
      <c r="G90" s="82"/>
      <c r="H90" s="84"/>
      <c r="I90" s="84"/>
      <c r="J90" s="84"/>
      <c r="K90" s="84"/>
      <c r="L90" s="83"/>
    </row>
    <row r="91" spans="2:12" ht="17.25" thickBot="1">
      <c r="B91" s="49" t="s">
        <v>390</v>
      </c>
      <c r="C91" s="50"/>
      <c r="D91" s="70" t="s">
        <v>391</v>
      </c>
      <c r="E91" s="68" t="s">
        <v>392</v>
      </c>
      <c r="F91" s="47" t="s">
        <v>196</v>
      </c>
      <c r="G91" s="77" t="s">
        <v>101</v>
      </c>
      <c r="H91" s="77" t="s">
        <v>102</v>
      </c>
      <c r="I91" s="77" t="s">
        <v>103</v>
      </c>
      <c r="J91" s="77" t="s">
        <v>104</v>
      </c>
      <c r="K91" s="77" t="s">
        <v>105</v>
      </c>
      <c r="L91" s="77" t="s">
        <v>106</v>
      </c>
    </row>
    <row r="92" spans="2:12" ht="17.25" thickBot="1">
      <c r="B92" s="69" t="s">
        <v>393</v>
      </c>
      <c r="C92" s="65" t="s">
        <v>394</v>
      </c>
      <c r="D92" s="69" t="s">
        <v>395</v>
      </c>
      <c r="E92" s="65" t="s">
        <v>396</v>
      </c>
      <c r="F92" s="48"/>
      <c r="G92" s="74" t="s">
        <v>397</v>
      </c>
      <c r="H92" s="74" t="s">
        <v>398</v>
      </c>
      <c r="I92" s="74" t="s">
        <v>399</v>
      </c>
      <c r="J92" s="74" t="s">
        <v>400</v>
      </c>
      <c r="K92" s="74" t="s">
        <v>401</v>
      </c>
      <c r="L92" s="74" t="s">
        <v>402</v>
      </c>
    </row>
    <row r="93" spans="2:12" ht="17.25" thickBot="1">
      <c r="B93" s="44" t="s">
        <v>19</v>
      </c>
      <c r="C93" s="45"/>
      <c r="D93" s="45"/>
      <c r="E93" s="46"/>
      <c r="F93" s="76"/>
      <c r="G93" s="82"/>
      <c r="H93" s="84"/>
      <c r="I93" s="84"/>
      <c r="J93" s="84"/>
      <c r="K93" s="84"/>
      <c r="L93" s="83"/>
    </row>
    <row r="94" spans="2:12" ht="17.25" thickBot="1">
      <c r="B94" s="49" t="s">
        <v>403</v>
      </c>
      <c r="C94" s="50"/>
      <c r="D94" s="70" t="s">
        <v>404</v>
      </c>
      <c r="E94" s="68" t="s">
        <v>405</v>
      </c>
      <c r="F94" s="47" t="s">
        <v>196</v>
      </c>
      <c r="G94" s="77" t="s">
        <v>101</v>
      </c>
      <c r="H94" s="77" t="s">
        <v>102</v>
      </c>
      <c r="I94" s="77" t="s">
        <v>103</v>
      </c>
      <c r="J94" s="77" t="s">
        <v>104</v>
      </c>
      <c r="K94" s="77" t="s">
        <v>105</v>
      </c>
      <c r="L94" s="77" t="s">
        <v>106</v>
      </c>
    </row>
    <row r="95" spans="2:12" ht="17.25" thickBot="1">
      <c r="B95" s="69" t="s">
        <v>406</v>
      </c>
      <c r="C95" s="65" t="s">
        <v>407</v>
      </c>
      <c r="D95" s="69" t="s">
        <v>408</v>
      </c>
      <c r="E95" s="65" t="s">
        <v>409</v>
      </c>
      <c r="F95" s="48"/>
      <c r="G95" s="74" t="s">
        <v>410</v>
      </c>
      <c r="H95" s="74" t="s">
        <v>411</v>
      </c>
      <c r="I95" s="74" t="s">
        <v>412</v>
      </c>
      <c r="J95" s="74" t="s">
        <v>413</v>
      </c>
      <c r="K95" s="74" t="s">
        <v>414</v>
      </c>
      <c r="L95" s="74" t="s">
        <v>415</v>
      </c>
    </row>
    <row r="96" spans="2:12" ht="17.25" thickBot="1">
      <c r="B96" s="44" t="s">
        <v>20</v>
      </c>
      <c r="C96" s="45"/>
      <c r="D96" s="45"/>
      <c r="E96" s="46"/>
      <c r="F96" s="76"/>
      <c r="G96" s="82"/>
      <c r="H96" s="84"/>
      <c r="I96" s="84"/>
      <c r="J96" s="84"/>
      <c r="K96" s="84"/>
      <c r="L96" s="83"/>
    </row>
    <row r="97" spans="2:12" ht="17.25" thickBot="1">
      <c r="B97" s="49" t="s">
        <v>416</v>
      </c>
      <c r="C97" s="50"/>
      <c r="D97" s="70" t="s">
        <v>417</v>
      </c>
      <c r="E97" s="68" t="s">
        <v>418</v>
      </c>
      <c r="F97" s="47" t="s">
        <v>192</v>
      </c>
      <c r="G97" s="77" t="s">
        <v>101</v>
      </c>
      <c r="H97" s="77" t="s">
        <v>102</v>
      </c>
      <c r="I97" s="77" t="s">
        <v>103</v>
      </c>
      <c r="J97" s="77" t="s">
        <v>104</v>
      </c>
      <c r="K97" s="77" t="s">
        <v>105</v>
      </c>
      <c r="L97" s="77" t="s">
        <v>106</v>
      </c>
    </row>
    <row r="98" spans="2:12" ht="17.25" thickBot="1">
      <c r="B98" s="69" t="s">
        <v>419</v>
      </c>
      <c r="C98" s="65" t="s">
        <v>420</v>
      </c>
      <c r="D98" s="69" t="s">
        <v>421</v>
      </c>
      <c r="E98" s="65" t="s">
        <v>422</v>
      </c>
      <c r="F98" s="48"/>
      <c r="G98" s="74" t="s">
        <v>423</v>
      </c>
      <c r="H98" s="74" t="s">
        <v>424</v>
      </c>
      <c r="I98" s="74" t="s">
        <v>425</v>
      </c>
      <c r="J98" s="74" t="s">
        <v>426</v>
      </c>
      <c r="K98" s="74" t="s">
        <v>427</v>
      </c>
      <c r="L98" s="74" t="s">
        <v>428</v>
      </c>
    </row>
    <row r="99" spans="2:12" ht="17.25" thickBot="1">
      <c r="B99" s="44" t="s">
        <v>21</v>
      </c>
      <c r="C99" s="45"/>
      <c r="D99" s="45"/>
      <c r="E99" s="46"/>
      <c r="F99" s="76"/>
      <c r="G99" s="82"/>
      <c r="H99" s="84"/>
      <c r="I99" s="84"/>
      <c r="J99" s="84"/>
      <c r="K99" s="84"/>
      <c r="L99" s="83"/>
    </row>
    <row r="100" spans="2:12" ht="17.25" thickBot="1">
      <c r="B100" s="49" t="s">
        <v>429</v>
      </c>
      <c r="C100" s="50"/>
      <c r="D100" s="70" t="s">
        <v>430</v>
      </c>
      <c r="E100" s="68" t="s">
        <v>431</v>
      </c>
      <c r="F100" s="47" t="s">
        <v>192</v>
      </c>
      <c r="G100" s="77" t="s">
        <v>101</v>
      </c>
      <c r="H100" s="77" t="s">
        <v>102</v>
      </c>
      <c r="I100" s="77" t="s">
        <v>103</v>
      </c>
      <c r="J100" s="77" t="s">
        <v>104</v>
      </c>
      <c r="K100" s="77" t="s">
        <v>105</v>
      </c>
      <c r="L100" s="77" t="s">
        <v>106</v>
      </c>
    </row>
    <row r="101" spans="2:12" ht="17.25" thickBot="1">
      <c r="B101" s="69" t="s">
        <v>432</v>
      </c>
      <c r="C101" s="65" t="s">
        <v>433</v>
      </c>
      <c r="D101" s="69" t="s">
        <v>434</v>
      </c>
      <c r="E101" s="65" t="s">
        <v>435</v>
      </c>
      <c r="F101" s="48"/>
      <c r="G101" s="74" t="s">
        <v>436</v>
      </c>
      <c r="H101" s="74" t="s">
        <v>437</v>
      </c>
      <c r="I101" s="74" t="s">
        <v>438</v>
      </c>
      <c r="J101" s="74" t="s">
        <v>439</v>
      </c>
      <c r="K101" s="74" t="s">
        <v>440</v>
      </c>
      <c r="L101" s="74" t="s">
        <v>441</v>
      </c>
    </row>
    <row r="108" spans="2:12" ht="17.25" thickBot="1"/>
    <row r="109" spans="2:12" ht="39" thickBot="1">
      <c r="B109" s="110" t="s">
        <v>188</v>
      </c>
      <c r="C109" s="111"/>
      <c r="D109" s="112"/>
    </row>
    <row r="110" spans="2:12">
      <c r="B110" s="79" t="s">
        <v>142</v>
      </c>
      <c r="C110" s="79" t="s">
        <v>144</v>
      </c>
      <c r="D110" s="79" t="s">
        <v>146</v>
      </c>
    </row>
    <row r="111" spans="2:12" ht="17.25" thickBot="1">
      <c r="B111" s="80">
        <v>6.5500000000000003E-2</v>
      </c>
      <c r="C111" s="81">
        <v>7.3599999999999999E-2</v>
      </c>
      <c r="D111" s="81">
        <v>6.3799999999999996E-2</v>
      </c>
    </row>
    <row r="112" spans="2:12" ht="17.25" thickBot="1"/>
    <row r="113" spans="2:11" ht="17.25" thickBot="1">
      <c r="B113" s="58" t="s">
        <v>193</v>
      </c>
      <c r="C113" s="59"/>
      <c r="D113" s="60"/>
    </row>
    <row r="114" spans="2:11">
      <c r="B114" s="79" t="s">
        <v>192</v>
      </c>
      <c r="C114" s="79" t="s">
        <v>195</v>
      </c>
      <c r="D114" s="79" t="s">
        <v>196</v>
      </c>
    </row>
    <row r="115" spans="2:11" ht="17.25" thickBot="1">
      <c r="B115" s="94">
        <v>0.52041322769802023</v>
      </c>
      <c r="C115" s="94">
        <v>0.54358695424781911</v>
      </c>
      <c r="D115" s="105">
        <v>0.51690216004269041</v>
      </c>
    </row>
    <row r="116" spans="2:11" ht="17.25" thickBot="1">
      <c r="B116" s="95"/>
      <c r="C116" s="95"/>
      <c r="D116" s="95"/>
    </row>
    <row r="117" spans="2:11" ht="17.25" thickBot="1">
      <c r="B117" s="101" t="s">
        <v>197</v>
      </c>
      <c r="C117" s="102"/>
      <c r="D117" s="103"/>
    </row>
    <row r="118" spans="2:11">
      <c r="B118" s="99" t="s">
        <v>192</v>
      </c>
      <c r="C118" s="99" t="s">
        <v>195</v>
      </c>
      <c r="D118" s="99" t="s">
        <v>196</v>
      </c>
    </row>
    <row r="119" spans="2:11" ht="17.25" thickBot="1">
      <c r="B119" s="94">
        <v>0.45521222036359626</v>
      </c>
      <c r="C119" s="94">
        <v>0.43682140540992864</v>
      </c>
      <c r="D119" s="94">
        <v>0.4256049743625438</v>
      </c>
    </row>
    <row r="120" spans="2:11" ht="17.25" thickBot="1"/>
    <row r="121" spans="2:11" ht="17.25" thickBot="1">
      <c r="B121" s="58" t="s">
        <v>201</v>
      </c>
      <c r="C121" s="59"/>
      <c r="D121" s="59"/>
      <c r="E121" s="60"/>
    </row>
    <row r="122" spans="2:11" ht="17.25" thickBot="1">
      <c r="B122" s="76" t="s">
        <v>442</v>
      </c>
      <c r="C122" s="83" t="s">
        <v>141</v>
      </c>
      <c r="D122" s="76" t="s">
        <v>139</v>
      </c>
      <c r="E122" s="83" t="s">
        <v>140</v>
      </c>
    </row>
    <row r="123" spans="2:11">
      <c r="B123" s="107" t="s">
        <v>200</v>
      </c>
      <c r="C123" s="93" t="s">
        <v>173</v>
      </c>
      <c r="D123" s="78" t="s">
        <v>167</v>
      </c>
      <c r="E123" s="78" t="s">
        <v>182</v>
      </c>
    </row>
    <row r="124" spans="2:11">
      <c r="B124" s="104" t="s">
        <v>175</v>
      </c>
      <c r="C124" s="106" t="s">
        <v>177</v>
      </c>
      <c r="D124" s="104" t="s">
        <v>169</v>
      </c>
      <c r="E124" s="104" t="s">
        <v>179</v>
      </c>
    </row>
    <row r="125" spans="2:11" ht="17.25" thickBot="1">
      <c r="B125" s="100" t="s">
        <v>176</v>
      </c>
      <c r="C125" s="75" t="s">
        <v>179</v>
      </c>
      <c r="D125" s="74" t="s">
        <v>171</v>
      </c>
      <c r="E125" s="74" t="s">
        <v>169</v>
      </c>
    </row>
    <row r="126" spans="2:11" ht="17.25" thickBot="1"/>
    <row r="127" spans="2:11" ht="17.25" thickBot="1">
      <c r="B127" s="44" t="s">
        <v>13</v>
      </c>
      <c r="C127" s="45"/>
      <c r="D127" s="45"/>
      <c r="E127" s="46"/>
      <c r="F127" s="76" t="s">
        <v>202</v>
      </c>
      <c r="G127" s="49" t="s">
        <v>203</v>
      </c>
      <c r="H127" s="51"/>
      <c r="I127" s="51"/>
      <c r="J127" s="51"/>
      <c r="K127" s="50"/>
    </row>
    <row r="128" spans="2:11" ht="17.25" thickBot="1">
      <c r="B128" s="49" t="s">
        <v>444</v>
      </c>
      <c r="C128" s="50"/>
      <c r="D128" s="70" t="s">
        <v>445</v>
      </c>
      <c r="E128" s="68" t="s">
        <v>446</v>
      </c>
      <c r="F128" s="47" t="s">
        <v>217</v>
      </c>
      <c r="G128" s="77" t="s">
        <v>24</v>
      </c>
      <c r="H128" s="77" t="s">
        <v>25</v>
      </c>
      <c r="I128" s="77" t="s">
        <v>26</v>
      </c>
      <c r="J128" s="77" t="s">
        <v>27</v>
      </c>
      <c r="K128" s="77" t="s">
        <v>28</v>
      </c>
    </row>
    <row r="129" spans="2:11" ht="17.25" thickBot="1">
      <c r="B129" s="69" t="s">
        <v>447</v>
      </c>
      <c r="C129" s="65" t="s">
        <v>448</v>
      </c>
      <c r="D129" s="69" t="s">
        <v>449</v>
      </c>
      <c r="E129" s="65" t="s">
        <v>450</v>
      </c>
      <c r="F129" s="48"/>
      <c r="G129" s="74" t="s">
        <v>451</v>
      </c>
      <c r="H129" s="74" t="s">
        <v>452</v>
      </c>
      <c r="I129" s="74" t="s">
        <v>453</v>
      </c>
      <c r="J129" s="74" t="s">
        <v>454</v>
      </c>
      <c r="K129" s="74" t="s">
        <v>455</v>
      </c>
    </row>
    <row r="130" spans="2:11" ht="17.25" thickBot="1">
      <c r="B130" s="44" t="s">
        <v>9</v>
      </c>
      <c r="C130" s="45"/>
      <c r="D130" s="45"/>
      <c r="E130" s="46"/>
      <c r="F130" s="76"/>
      <c r="G130" s="82"/>
      <c r="H130" s="84"/>
      <c r="I130" s="83"/>
    </row>
    <row r="131" spans="2:11" ht="17.25" thickBot="1">
      <c r="B131" s="49" t="s">
        <v>456</v>
      </c>
      <c r="C131" s="50"/>
      <c r="D131" s="70" t="s">
        <v>457</v>
      </c>
      <c r="E131" s="68" t="s">
        <v>458</v>
      </c>
      <c r="F131" s="47" t="s">
        <v>217</v>
      </c>
      <c r="G131" s="77" t="s">
        <v>30</v>
      </c>
      <c r="H131" s="77" t="s">
        <v>31</v>
      </c>
      <c r="I131" s="77" t="s">
        <v>32</v>
      </c>
    </row>
    <row r="132" spans="2:11" ht="17.25" thickBot="1">
      <c r="B132" s="69" t="s">
        <v>459</v>
      </c>
      <c r="C132" s="65" t="s">
        <v>460</v>
      </c>
      <c r="D132" s="69" t="s">
        <v>461</v>
      </c>
      <c r="E132" s="65" t="s">
        <v>462</v>
      </c>
      <c r="F132" s="48"/>
      <c r="G132" s="74" t="s">
        <v>463</v>
      </c>
      <c r="H132" s="74" t="s">
        <v>464</v>
      </c>
      <c r="I132" s="74" t="s">
        <v>465</v>
      </c>
    </row>
    <row r="133" spans="2:11" ht="17.25" thickBot="1">
      <c r="B133" s="44" t="s">
        <v>14</v>
      </c>
      <c r="C133" s="45"/>
      <c r="D133" s="45"/>
      <c r="E133" s="46"/>
      <c r="F133" s="76"/>
      <c r="G133" s="82"/>
      <c r="H133" s="84"/>
      <c r="I133" s="83"/>
    </row>
    <row r="134" spans="2:11" ht="17.25" thickBot="1">
      <c r="B134" s="49" t="s">
        <v>466</v>
      </c>
      <c r="C134" s="50"/>
      <c r="D134" s="70" t="s">
        <v>467</v>
      </c>
      <c r="E134" s="68" t="s">
        <v>468</v>
      </c>
      <c r="F134" s="47" t="s">
        <v>195</v>
      </c>
      <c r="G134" s="77" t="s">
        <v>34</v>
      </c>
      <c r="H134" s="77" t="s">
        <v>35</v>
      </c>
      <c r="I134" s="72" t="s">
        <v>36</v>
      </c>
    </row>
    <row r="135" spans="2:11" ht="17.25" thickBot="1">
      <c r="B135" s="69" t="s">
        <v>469</v>
      </c>
      <c r="C135" s="65" t="s">
        <v>470</v>
      </c>
      <c r="D135" s="69" t="s">
        <v>471</v>
      </c>
      <c r="E135" s="65" t="s">
        <v>472</v>
      </c>
      <c r="F135" s="48"/>
      <c r="G135" s="109" t="s">
        <v>473</v>
      </c>
      <c r="H135" s="109" t="s">
        <v>474</v>
      </c>
      <c r="I135" s="109" t="s">
        <v>475</v>
      </c>
      <c r="J135" s="108"/>
    </row>
    <row r="136" spans="2:11" ht="17.25" thickBot="1">
      <c r="B136" s="44" t="s">
        <v>16</v>
      </c>
      <c r="C136" s="45"/>
      <c r="D136" s="45"/>
      <c r="E136" s="46"/>
      <c r="F136" s="76"/>
      <c r="G136" s="82"/>
      <c r="H136" s="84"/>
      <c r="I136" s="84"/>
      <c r="J136" s="83"/>
    </row>
    <row r="137" spans="2:11" ht="17.25" thickBot="1">
      <c r="B137" s="49" t="s">
        <v>476</v>
      </c>
      <c r="C137" s="50"/>
      <c r="D137" s="70" t="s">
        <v>477</v>
      </c>
      <c r="E137" s="68" t="s">
        <v>478</v>
      </c>
      <c r="F137" s="47" t="s">
        <v>195</v>
      </c>
      <c r="G137" s="77" t="s">
        <v>38</v>
      </c>
      <c r="H137" s="77" t="s">
        <v>39</v>
      </c>
      <c r="I137" s="77" t="s">
        <v>40</v>
      </c>
      <c r="J137" s="77" t="s">
        <v>41</v>
      </c>
    </row>
    <row r="138" spans="2:11" ht="17.25" thickBot="1">
      <c r="B138" s="69" t="s">
        <v>254</v>
      </c>
      <c r="C138" s="65" t="s">
        <v>255</v>
      </c>
      <c r="D138" s="69" t="s">
        <v>479</v>
      </c>
      <c r="E138" s="65" t="s">
        <v>480</v>
      </c>
      <c r="F138" s="48"/>
      <c r="G138" s="74" t="s">
        <v>481</v>
      </c>
      <c r="H138" s="74" t="s">
        <v>482</v>
      </c>
      <c r="I138" s="74" t="s">
        <v>483</v>
      </c>
      <c r="J138" s="74" t="s">
        <v>484</v>
      </c>
    </row>
    <row r="139" spans="2:11" ht="17.25" thickBot="1">
      <c r="B139" s="44" t="s">
        <v>15</v>
      </c>
      <c r="C139" s="45"/>
      <c r="D139" s="45"/>
      <c r="E139" s="46"/>
      <c r="F139" s="76"/>
      <c r="G139" s="82"/>
      <c r="H139" s="84"/>
      <c r="I139" s="84"/>
      <c r="J139" s="84"/>
      <c r="K139" s="83"/>
    </row>
    <row r="140" spans="2:11" ht="17.25" thickBot="1">
      <c r="B140" s="49" t="s">
        <v>485</v>
      </c>
      <c r="C140" s="50"/>
      <c r="D140" s="70" t="s">
        <v>486</v>
      </c>
      <c r="E140" s="68" t="s">
        <v>487</v>
      </c>
      <c r="F140" s="47" t="s">
        <v>195</v>
      </c>
      <c r="G140" s="77" t="s">
        <v>43</v>
      </c>
      <c r="H140" s="77" t="s">
        <v>44</v>
      </c>
      <c r="I140" s="77" t="s">
        <v>45</v>
      </c>
      <c r="J140" s="77" t="s">
        <v>46</v>
      </c>
      <c r="K140" s="77" t="s">
        <v>47</v>
      </c>
    </row>
    <row r="141" spans="2:11" ht="17.25" thickBot="1">
      <c r="B141" s="69" t="s">
        <v>488</v>
      </c>
      <c r="C141" s="65" t="s">
        <v>489</v>
      </c>
      <c r="D141" s="69" t="s">
        <v>490</v>
      </c>
      <c r="E141" s="65" t="s">
        <v>491</v>
      </c>
      <c r="F141" s="48"/>
      <c r="G141" s="74" t="s">
        <v>492</v>
      </c>
      <c r="H141" s="74" t="s">
        <v>493</v>
      </c>
      <c r="I141" s="74" t="s">
        <v>494</v>
      </c>
      <c r="J141" s="74" t="s">
        <v>495</v>
      </c>
      <c r="K141" s="74" t="s">
        <v>496</v>
      </c>
    </row>
    <row r="142" spans="2:11" ht="17.25" thickBot="1">
      <c r="B142" s="44" t="s">
        <v>17</v>
      </c>
      <c r="C142" s="45"/>
      <c r="D142" s="45"/>
      <c r="E142" s="46"/>
      <c r="F142" s="76"/>
      <c r="G142" s="82"/>
      <c r="H142" s="84"/>
      <c r="I142" s="84"/>
      <c r="J142" s="84"/>
      <c r="K142" s="83"/>
    </row>
    <row r="143" spans="2:11" ht="17.25" thickBot="1">
      <c r="B143" s="49" t="s">
        <v>497</v>
      </c>
      <c r="C143" s="50"/>
      <c r="D143" s="70" t="s">
        <v>498</v>
      </c>
      <c r="E143" s="68" t="s">
        <v>499</v>
      </c>
      <c r="F143" s="47" t="s">
        <v>196</v>
      </c>
      <c r="G143" s="77" t="s">
        <v>49</v>
      </c>
      <c r="H143" s="77" t="s">
        <v>50</v>
      </c>
      <c r="I143" s="77" t="s">
        <v>51</v>
      </c>
      <c r="J143" s="77" t="s">
        <v>52</v>
      </c>
      <c r="K143" s="77" t="s">
        <v>53</v>
      </c>
    </row>
    <row r="144" spans="2:11" ht="17.25" thickBot="1">
      <c r="B144" s="69" t="s">
        <v>263</v>
      </c>
      <c r="C144" s="65" t="s">
        <v>264</v>
      </c>
      <c r="D144" s="69" t="s">
        <v>500</v>
      </c>
      <c r="E144" s="65" t="s">
        <v>501</v>
      </c>
      <c r="F144" s="48"/>
      <c r="G144" s="74" t="s">
        <v>502</v>
      </c>
      <c r="H144" s="74" t="s">
        <v>503</v>
      </c>
      <c r="I144" s="74" t="s">
        <v>504</v>
      </c>
      <c r="J144" s="74" t="s">
        <v>505</v>
      </c>
      <c r="K144" s="74" t="s">
        <v>506</v>
      </c>
    </row>
    <row r="145" spans="2:11" ht="17.25" thickBot="1">
      <c r="B145" s="44" t="s">
        <v>18</v>
      </c>
      <c r="C145" s="45"/>
      <c r="D145" s="45"/>
      <c r="E145" s="46"/>
      <c r="F145" s="76"/>
      <c r="G145" s="82"/>
      <c r="H145" s="84"/>
      <c r="I145" s="84"/>
      <c r="J145" s="83"/>
    </row>
    <row r="146" spans="2:11" ht="17.25" thickBot="1">
      <c r="B146" s="49" t="s">
        <v>507</v>
      </c>
      <c r="C146" s="50"/>
      <c r="D146" s="70" t="s">
        <v>508</v>
      </c>
      <c r="E146" s="68" t="s">
        <v>509</v>
      </c>
      <c r="F146" s="47" t="s">
        <v>196</v>
      </c>
      <c r="G146" s="77" t="s">
        <v>55</v>
      </c>
      <c r="H146" s="77" t="s">
        <v>56</v>
      </c>
      <c r="I146" s="77" t="s">
        <v>57</v>
      </c>
      <c r="J146" s="77" t="s">
        <v>58</v>
      </c>
    </row>
    <row r="147" spans="2:11" ht="17.25" thickBot="1">
      <c r="B147" s="69" t="s">
        <v>510</v>
      </c>
      <c r="C147" s="65" t="s">
        <v>511</v>
      </c>
      <c r="D147" s="69" t="s">
        <v>512</v>
      </c>
      <c r="E147" s="65" t="s">
        <v>513</v>
      </c>
      <c r="F147" s="48"/>
      <c r="G147" s="74" t="s">
        <v>514</v>
      </c>
      <c r="H147" s="74" t="s">
        <v>515</v>
      </c>
      <c r="I147" s="74" t="s">
        <v>516</v>
      </c>
      <c r="J147" s="74" t="s">
        <v>517</v>
      </c>
    </row>
    <row r="148" spans="2:11" ht="17.25" thickBot="1">
      <c r="B148" s="44" t="s">
        <v>19</v>
      </c>
      <c r="C148" s="45"/>
      <c r="D148" s="45"/>
      <c r="E148" s="46"/>
      <c r="F148" s="76"/>
      <c r="G148" s="82"/>
      <c r="H148" s="84"/>
      <c r="I148" s="84"/>
      <c r="J148" s="83"/>
    </row>
    <row r="149" spans="2:11" ht="17.25" thickBot="1">
      <c r="B149" s="49" t="s">
        <v>518</v>
      </c>
      <c r="C149" s="50"/>
      <c r="D149" s="70" t="s">
        <v>519</v>
      </c>
      <c r="E149" s="68" t="s">
        <v>520</v>
      </c>
      <c r="F149" s="47" t="s">
        <v>196</v>
      </c>
      <c r="G149" s="77" t="s">
        <v>60</v>
      </c>
      <c r="H149" s="77" t="s">
        <v>61</v>
      </c>
      <c r="I149" s="77" t="s">
        <v>62</v>
      </c>
      <c r="J149" s="77" t="s">
        <v>63</v>
      </c>
    </row>
    <row r="150" spans="2:11" ht="17.25" thickBot="1">
      <c r="B150" s="69" t="s">
        <v>521</v>
      </c>
      <c r="C150" s="65" t="s">
        <v>522</v>
      </c>
      <c r="D150" s="69" t="s">
        <v>523</v>
      </c>
      <c r="E150" s="65" t="s">
        <v>524</v>
      </c>
      <c r="F150" s="48"/>
      <c r="G150" s="74" t="s">
        <v>525</v>
      </c>
      <c r="H150" s="74" t="s">
        <v>526</v>
      </c>
      <c r="I150" s="74" t="s">
        <v>527</v>
      </c>
      <c r="J150" s="74" t="s">
        <v>528</v>
      </c>
    </row>
    <row r="151" spans="2:11" ht="17.25" thickBot="1">
      <c r="B151" s="44" t="s">
        <v>20</v>
      </c>
      <c r="C151" s="45"/>
      <c r="D151" s="45"/>
      <c r="E151" s="46"/>
      <c r="F151" s="76"/>
      <c r="G151" s="82"/>
      <c r="H151" s="84"/>
      <c r="I151" s="84"/>
      <c r="J151" s="84"/>
      <c r="K151" s="83"/>
    </row>
    <row r="152" spans="2:11" ht="17.25" thickBot="1">
      <c r="B152" s="49" t="s">
        <v>529</v>
      </c>
      <c r="C152" s="50"/>
      <c r="D152" s="70" t="s">
        <v>530</v>
      </c>
      <c r="E152" s="68" t="s">
        <v>531</v>
      </c>
      <c r="F152" s="47" t="s">
        <v>192</v>
      </c>
      <c r="G152" s="77" t="s">
        <v>65</v>
      </c>
      <c r="H152" s="77" t="s">
        <v>66</v>
      </c>
      <c r="I152" s="77" t="s">
        <v>67</v>
      </c>
      <c r="J152" s="77" t="s">
        <v>68</v>
      </c>
      <c r="K152" s="77" t="s">
        <v>69</v>
      </c>
    </row>
    <row r="153" spans="2:11" ht="17.25" thickBot="1">
      <c r="B153" s="69" t="s">
        <v>290</v>
      </c>
      <c r="C153" s="65" t="s">
        <v>291</v>
      </c>
      <c r="D153" s="69" t="s">
        <v>532</v>
      </c>
      <c r="E153" s="65" t="s">
        <v>533</v>
      </c>
      <c r="F153" s="48"/>
      <c r="G153" s="74" t="s">
        <v>534</v>
      </c>
      <c r="H153" s="74" t="s">
        <v>535</v>
      </c>
      <c r="I153" s="74" t="s">
        <v>536</v>
      </c>
      <c r="J153" s="74" t="s">
        <v>537</v>
      </c>
      <c r="K153" s="74" t="s">
        <v>538</v>
      </c>
    </row>
    <row r="154" spans="2:11" ht="17.25" thickBot="1">
      <c r="B154" s="44" t="s">
        <v>21</v>
      </c>
      <c r="C154" s="45"/>
      <c r="D154" s="45"/>
      <c r="E154" s="46"/>
      <c r="F154" s="76"/>
      <c r="G154" s="82"/>
      <c r="H154" s="84"/>
      <c r="I154" s="83"/>
    </row>
    <row r="155" spans="2:11" ht="17.25" thickBot="1">
      <c r="B155" s="49" t="s">
        <v>539</v>
      </c>
      <c r="C155" s="50"/>
      <c r="D155" s="70" t="s">
        <v>540</v>
      </c>
      <c r="E155" s="68" t="s">
        <v>541</v>
      </c>
      <c r="F155" s="47" t="s">
        <v>192</v>
      </c>
      <c r="G155" s="77" t="s">
        <v>71</v>
      </c>
      <c r="H155" s="77" t="s">
        <v>72</v>
      </c>
      <c r="I155" s="77" t="s">
        <v>73</v>
      </c>
    </row>
    <row r="156" spans="2:11" ht="17.25" thickBot="1">
      <c r="B156" s="69" t="s">
        <v>542</v>
      </c>
      <c r="C156" s="65" t="s">
        <v>543</v>
      </c>
      <c r="D156" s="69" t="s">
        <v>544</v>
      </c>
      <c r="E156" s="65" t="s">
        <v>545</v>
      </c>
      <c r="F156" s="48"/>
      <c r="G156" s="74" t="s">
        <v>546</v>
      </c>
      <c r="H156" s="74" t="s">
        <v>547</v>
      </c>
      <c r="I156" s="74" t="s">
        <v>548</v>
      </c>
    </row>
    <row r="163" spans="1:5" ht="17.25" thickBot="1"/>
    <row r="164" spans="1:5" ht="39" thickBot="1">
      <c r="B164" s="110" t="s">
        <v>189</v>
      </c>
      <c r="C164" s="111"/>
      <c r="D164" s="112"/>
    </row>
    <row r="165" spans="1:5" ht="17.25" customHeight="1">
      <c r="B165" s="79" t="s">
        <v>142</v>
      </c>
      <c r="C165" s="79" t="s">
        <v>144</v>
      </c>
      <c r="D165" s="79" t="s">
        <v>146</v>
      </c>
    </row>
    <row r="166" spans="1:5" ht="17.25" thickBot="1">
      <c r="B166" s="80">
        <v>3.44E-2</v>
      </c>
      <c r="C166" s="81">
        <v>2.5000000000000001E-2</v>
      </c>
      <c r="D166" s="81">
        <v>2.3199999999999998E-2</v>
      </c>
    </row>
    <row r="167" spans="1:5" ht="17.25" thickBot="1"/>
    <row r="168" spans="1:5" ht="16.5" customHeight="1" thickBot="1">
      <c r="B168" s="58" t="s">
        <v>193</v>
      </c>
      <c r="C168" s="59"/>
      <c r="D168" s="60"/>
    </row>
    <row r="169" spans="1:5" ht="17.25" customHeight="1">
      <c r="B169" s="79" t="s">
        <v>192</v>
      </c>
      <c r="C169" s="79" t="s">
        <v>195</v>
      </c>
      <c r="D169" s="79" t="s">
        <v>196</v>
      </c>
    </row>
    <row r="170" spans="1:5" ht="17.25" thickBot="1">
      <c r="A170" s="95"/>
      <c r="B170" s="94">
        <v>0.53799083010721993</v>
      </c>
      <c r="C170" s="94">
        <v>0.52669376829109937</v>
      </c>
      <c r="D170" s="105">
        <v>0.536988714929301</v>
      </c>
      <c r="E170" s="95"/>
    </row>
    <row r="171" spans="1:5" ht="17.25" thickBot="1">
      <c r="A171" s="95"/>
      <c r="B171" s="95"/>
      <c r="C171" s="95"/>
      <c r="D171" s="95"/>
      <c r="E171" s="95"/>
    </row>
    <row r="172" spans="1:5" ht="17.25" thickBot="1">
      <c r="A172" s="95"/>
      <c r="B172" s="101" t="s">
        <v>197</v>
      </c>
      <c r="C172" s="102"/>
      <c r="D172" s="103"/>
      <c r="E172" s="95"/>
    </row>
    <row r="173" spans="1:5">
      <c r="A173" s="95"/>
      <c r="B173" s="99" t="s">
        <v>192</v>
      </c>
      <c r="C173" s="99" t="s">
        <v>195</v>
      </c>
      <c r="D173" s="99" t="s">
        <v>196</v>
      </c>
      <c r="E173" s="95"/>
    </row>
    <row r="174" spans="1:5" ht="17.25" thickBot="1">
      <c r="A174" s="95"/>
      <c r="B174" s="94">
        <v>0.46200916989278007</v>
      </c>
      <c r="C174" s="94">
        <v>0.47330623170890057</v>
      </c>
      <c r="D174" s="94">
        <v>0.46301128507069894</v>
      </c>
      <c r="E174" s="95"/>
    </row>
    <row r="176" spans="1:5" ht="17.25" thickBot="1"/>
    <row r="177" spans="2:8" ht="17.25" thickBot="1">
      <c r="B177" s="58" t="s">
        <v>201</v>
      </c>
      <c r="C177" s="59"/>
      <c r="D177" s="59"/>
      <c r="E177" s="60"/>
    </row>
    <row r="178" spans="2:8" ht="17.25" thickBot="1">
      <c r="B178" s="76" t="s">
        <v>442</v>
      </c>
      <c r="C178" s="83" t="s">
        <v>141</v>
      </c>
      <c r="D178" s="76" t="s">
        <v>139</v>
      </c>
      <c r="E178" s="83" t="s">
        <v>140</v>
      </c>
    </row>
    <row r="179" spans="2:8">
      <c r="B179" s="79" t="s">
        <v>200</v>
      </c>
      <c r="C179" s="92" t="s">
        <v>179</v>
      </c>
      <c r="D179" s="92" t="s">
        <v>171</v>
      </c>
      <c r="E179" s="92" t="s">
        <v>171</v>
      </c>
    </row>
    <row r="180" spans="2:8">
      <c r="B180" s="104" t="s">
        <v>175</v>
      </c>
      <c r="C180" s="104" t="s">
        <v>184</v>
      </c>
      <c r="D180" s="104" t="s">
        <v>177</v>
      </c>
      <c r="E180" s="104" t="s">
        <v>177</v>
      </c>
    </row>
    <row r="181" spans="2:8" ht="17.25" thickBot="1">
      <c r="B181" s="100" t="s">
        <v>176</v>
      </c>
      <c r="C181" s="74" t="s">
        <v>184</v>
      </c>
      <c r="D181" s="74" t="s">
        <v>177</v>
      </c>
      <c r="E181" s="74" t="s">
        <v>177</v>
      </c>
    </row>
    <row r="182" spans="2:8" ht="17.25" thickBot="1"/>
    <row r="183" spans="2:8" ht="17.25" thickBot="1">
      <c r="B183" s="44" t="s">
        <v>13</v>
      </c>
      <c r="C183" s="45"/>
      <c r="D183" s="45"/>
      <c r="E183" s="46"/>
      <c r="F183" s="76" t="s">
        <v>202</v>
      </c>
      <c r="G183" s="49" t="s">
        <v>203</v>
      </c>
      <c r="H183" s="50"/>
    </row>
    <row r="184" spans="2:8" ht="17.25" thickBot="1">
      <c r="B184" s="49" t="s">
        <v>549</v>
      </c>
      <c r="C184" s="50"/>
      <c r="D184" s="70" t="s">
        <v>550</v>
      </c>
      <c r="E184" s="68" t="s">
        <v>551</v>
      </c>
      <c r="F184" s="47" t="s">
        <v>217</v>
      </c>
      <c r="G184" s="73" t="s">
        <v>78</v>
      </c>
      <c r="H184" s="73" t="s">
        <v>79</v>
      </c>
    </row>
    <row r="185" spans="2:8" ht="17.25" thickBot="1">
      <c r="B185" s="69" t="s">
        <v>552</v>
      </c>
      <c r="C185" s="65" t="s">
        <v>553</v>
      </c>
      <c r="D185" s="69" t="s">
        <v>554</v>
      </c>
      <c r="E185" s="65" t="s">
        <v>555</v>
      </c>
      <c r="F185" s="48"/>
      <c r="G185" s="74" t="s">
        <v>556</v>
      </c>
      <c r="H185" s="74" t="s">
        <v>557</v>
      </c>
    </row>
    <row r="186" spans="2:8" ht="17.25" thickBot="1">
      <c r="B186" s="44" t="s">
        <v>9</v>
      </c>
      <c r="C186" s="45"/>
      <c r="D186" s="45"/>
      <c r="E186" s="46"/>
      <c r="F186" s="76"/>
      <c r="G186" s="82"/>
      <c r="H186" s="83"/>
    </row>
    <row r="187" spans="2:8" ht="17.25" thickBot="1">
      <c r="B187" s="49" t="s">
        <v>558</v>
      </c>
      <c r="C187" s="50"/>
      <c r="D187" s="70" t="s">
        <v>559</v>
      </c>
      <c r="E187" s="68" t="s">
        <v>560</v>
      </c>
      <c r="F187" s="47" t="s">
        <v>217</v>
      </c>
      <c r="G187" s="73" t="s">
        <v>81</v>
      </c>
      <c r="H187" s="73" t="s">
        <v>82</v>
      </c>
    </row>
    <row r="188" spans="2:8" ht="17.25" thickBot="1">
      <c r="B188" s="69" t="s">
        <v>218</v>
      </c>
      <c r="C188" s="65" t="s">
        <v>219</v>
      </c>
      <c r="D188" s="69" t="s">
        <v>561</v>
      </c>
      <c r="E188" s="65" t="s">
        <v>562</v>
      </c>
      <c r="F188" s="48"/>
      <c r="G188" s="74" t="s">
        <v>563</v>
      </c>
      <c r="H188" s="74" t="s">
        <v>564</v>
      </c>
    </row>
    <row r="189" spans="2:8" ht="17.25" thickBot="1">
      <c r="B189" s="44" t="s">
        <v>14</v>
      </c>
      <c r="C189" s="45"/>
      <c r="D189" s="45"/>
      <c r="E189" s="46"/>
      <c r="F189" s="76"/>
      <c r="G189" s="82"/>
      <c r="H189" s="83"/>
    </row>
    <row r="190" spans="2:8" ht="17.25" thickBot="1">
      <c r="B190" s="49" t="s">
        <v>565</v>
      </c>
      <c r="C190" s="50"/>
      <c r="D190" s="70" t="s">
        <v>566</v>
      </c>
      <c r="E190" s="68" t="s">
        <v>567</v>
      </c>
      <c r="F190" s="47" t="s">
        <v>195</v>
      </c>
      <c r="G190" s="73" t="s">
        <v>84</v>
      </c>
      <c r="H190" s="73" t="s">
        <v>85</v>
      </c>
    </row>
    <row r="191" spans="2:8" ht="17.25" thickBot="1">
      <c r="B191" s="69" t="s">
        <v>236</v>
      </c>
      <c r="C191" s="65" t="s">
        <v>237</v>
      </c>
      <c r="D191" s="69" t="s">
        <v>274</v>
      </c>
      <c r="E191" s="65" t="s">
        <v>275</v>
      </c>
      <c r="F191" s="48"/>
      <c r="G191" s="74" t="s">
        <v>568</v>
      </c>
      <c r="H191" s="74" t="s">
        <v>569</v>
      </c>
    </row>
    <row r="192" spans="2:8" ht="17.25" thickBot="1">
      <c r="B192" s="44" t="s">
        <v>16</v>
      </c>
      <c r="C192" s="45"/>
      <c r="D192" s="45"/>
      <c r="E192" s="46"/>
      <c r="F192" s="76"/>
      <c r="G192" s="82"/>
      <c r="H192" s="83"/>
    </row>
    <row r="193" spans="2:8" ht="17.25" thickBot="1">
      <c r="B193" s="49" t="s">
        <v>476</v>
      </c>
      <c r="C193" s="50"/>
      <c r="D193" s="70" t="s">
        <v>570</v>
      </c>
      <c r="E193" s="68" t="s">
        <v>571</v>
      </c>
      <c r="F193" s="47" t="s">
        <v>195</v>
      </c>
      <c r="G193" s="73" t="s">
        <v>84</v>
      </c>
      <c r="H193" s="73" t="s">
        <v>85</v>
      </c>
    </row>
    <row r="194" spans="2:8" ht="17.25" thickBot="1">
      <c r="B194" s="69" t="s">
        <v>254</v>
      </c>
      <c r="C194" s="65" t="s">
        <v>255</v>
      </c>
      <c r="D194" s="69" t="s">
        <v>572</v>
      </c>
      <c r="E194" s="65" t="s">
        <v>573</v>
      </c>
      <c r="F194" s="48"/>
      <c r="G194" s="74" t="s">
        <v>574</v>
      </c>
      <c r="H194" s="74" t="s">
        <v>575</v>
      </c>
    </row>
    <row r="195" spans="2:8" ht="17.25" thickBot="1">
      <c r="B195" s="44" t="s">
        <v>15</v>
      </c>
      <c r="C195" s="45"/>
      <c r="D195" s="45"/>
      <c r="E195" s="46"/>
      <c r="F195" s="76"/>
      <c r="G195" s="82"/>
      <c r="H195" s="83"/>
    </row>
    <row r="196" spans="2:8" ht="17.25" thickBot="1">
      <c r="B196" s="49" t="s">
        <v>576</v>
      </c>
      <c r="C196" s="50"/>
      <c r="D196" s="70" t="s">
        <v>577</v>
      </c>
      <c r="E196" s="68" t="s">
        <v>578</v>
      </c>
      <c r="F196" s="47" t="s">
        <v>195</v>
      </c>
      <c r="G196" s="73" t="s">
        <v>87</v>
      </c>
      <c r="H196" s="73" t="s">
        <v>88</v>
      </c>
    </row>
    <row r="197" spans="2:8" ht="17.25" thickBot="1">
      <c r="B197" s="69" t="s">
        <v>579</v>
      </c>
      <c r="C197" s="65" t="s">
        <v>580</v>
      </c>
      <c r="D197" s="69" t="s">
        <v>581</v>
      </c>
      <c r="E197" s="65" t="s">
        <v>582</v>
      </c>
      <c r="F197" s="48"/>
      <c r="G197" s="74" t="s">
        <v>583</v>
      </c>
      <c r="H197" s="74" t="s">
        <v>584</v>
      </c>
    </row>
    <row r="198" spans="2:8" ht="17.25" thickBot="1">
      <c r="B198" s="44" t="s">
        <v>17</v>
      </c>
      <c r="C198" s="45"/>
      <c r="D198" s="45"/>
      <c r="E198" s="46"/>
      <c r="F198" s="76"/>
      <c r="G198" s="82"/>
      <c r="H198" s="83"/>
    </row>
    <row r="199" spans="2:8" ht="17.25" thickBot="1">
      <c r="B199" s="49" t="s">
        <v>585</v>
      </c>
      <c r="C199" s="50"/>
      <c r="D199" s="70" t="s">
        <v>586</v>
      </c>
      <c r="E199" s="68" t="s">
        <v>587</v>
      </c>
      <c r="F199" s="47" t="s">
        <v>196</v>
      </c>
      <c r="G199" s="73" t="s">
        <v>90</v>
      </c>
      <c r="H199" s="73" t="s">
        <v>91</v>
      </c>
    </row>
    <row r="200" spans="2:8" ht="17.25" thickBot="1">
      <c r="B200" s="69" t="s">
        <v>588</v>
      </c>
      <c r="C200" s="65" t="s">
        <v>589</v>
      </c>
      <c r="D200" s="69" t="s">
        <v>590</v>
      </c>
      <c r="E200" s="65" t="s">
        <v>591</v>
      </c>
      <c r="F200" s="48"/>
      <c r="G200" s="74" t="s">
        <v>592</v>
      </c>
      <c r="H200" s="74" t="s">
        <v>593</v>
      </c>
    </row>
    <row r="201" spans="2:8" ht="17.25" thickBot="1">
      <c r="B201" s="44" t="s">
        <v>18</v>
      </c>
      <c r="C201" s="45"/>
      <c r="D201" s="45"/>
      <c r="E201" s="46"/>
      <c r="F201" s="76"/>
      <c r="G201" s="82"/>
      <c r="H201" s="83"/>
    </row>
    <row r="202" spans="2:8" ht="17.25" thickBot="1">
      <c r="B202" s="49" t="s">
        <v>594</v>
      </c>
      <c r="C202" s="50"/>
      <c r="D202" s="70" t="s">
        <v>595</v>
      </c>
      <c r="E202" s="68" t="s">
        <v>596</v>
      </c>
      <c r="F202" s="47" t="s">
        <v>196</v>
      </c>
      <c r="G202" s="73" t="s">
        <v>90</v>
      </c>
      <c r="H202" s="73" t="s">
        <v>91</v>
      </c>
    </row>
    <row r="203" spans="2:8" ht="17.25" thickBot="1">
      <c r="B203" s="69" t="s">
        <v>597</v>
      </c>
      <c r="C203" s="65" t="s">
        <v>598</v>
      </c>
      <c r="D203" s="69" t="s">
        <v>599</v>
      </c>
      <c r="E203" s="65" t="s">
        <v>600</v>
      </c>
      <c r="F203" s="48"/>
      <c r="G203" s="74" t="s">
        <v>601</v>
      </c>
      <c r="H203" s="74" t="s">
        <v>602</v>
      </c>
    </row>
    <row r="204" spans="2:8" ht="17.25" thickBot="1">
      <c r="B204" s="44" t="s">
        <v>19</v>
      </c>
      <c r="C204" s="45"/>
      <c r="D204" s="45"/>
      <c r="E204" s="46"/>
      <c r="F204" s="76"/>
      <c r="G204" s="82"/>
      <c r="H204" s="83"/>
    </row>
    <row r="205" spans="2:8" ht="17.25" thickBot="1">
      <c r="B205" s="49" t="s">
        <v>603</v>
      </c>
      <c r="C205" s="50"/>
      <c r="D205" s="70" t="s">
        <v>604</v>
      </c>
      <c r="E205" s="68" t="s">
        <v>605</v>
      </c>
      <c r="F205" s="47" t="s">
        <v>196</v>
      </c>
      <c r="G205" s="73" t="s">
        <v>93</v>
      </c>
      <c r="H205" s="73" t="s">
        <v>94</v>
      </c>
    </row>
    <row r="206" spans="2:8" ht="17.25" thickBot="1">
      <c r="B206" s="69" t="s">
        <v>606</v>
      </c>
      <c r="C206" s="65" t="s">
        <v>607</v>
      </c>
      <c r="D206" s="69" t="s">
        <v>608</v>
      </c>
      <c r="E206" s="65" t="s">
        <v>609</v>
      </c>
      <c r="F206" s="48"/>
      <c r="G206" s="74" t="s">
        <v>610</v>
      </c>
      <c r="H206" s="74" t="s">
        <v>611</v>
      </c>
    </row>
    <row r="207" spans="2:8" ht="17.25" thickBot="1">
      <c r="B207" s="44" t="s">
        <v>20</v>
      </c>
      <c r="C207" s="45"/>
      <c r="D207" s="45"/>
      <c r="E207" s="46"/>
      <c r="F207" s="76"/>
      <c r="G207" s="82"/>
      <c r="H207" s="83"/>
    </row>
    <row r="208" spans="2:8" ht="17.25" thickBot="1">
      <c r="B208" s="49" t="s">
        <v>612</v>
      </c>
      <c r="C208" s="50"/>
      <c r="D208" s="70" t="s">
        <v>613</v>
      </c>
      <c r="E208" s="68" t="s">
        <v>614</v>
      </c>
      <c r="F208" s="47" t="s">
        <v>192</v>
      </c>
      <c r="G208" s="73" t="s">
        <v>96</v>
      </c>
      <c r="H208" s="73" t="s">
        <v>97</v>
      </c>
    </row>
    <row r="209" spans="2:8" ht="17.25" thickBot="1">
      <c r="B209" s="69" t="s">
        <v>615</v>
      </c>
      <c r="C209" s="65" t="s">
        <v>616</v>
      </c>
      <c r="D209" s="69" t="s">
        <v>617</v>
      </c>
      <c r="E209" s="65" t="s">
        <v>618</v>
      </c>
      <c r="F209" s="48"/>
      <c r="G209" s="74" t="s">
        <v>619</v>
      </c>
      <c r="H209" s="74" t="s">
        <v>620</v>
      </c>
    </row>
    <row r="210" spans="2:8" ht="17.25" thickBot="1">
      <c r="B210" s="44" t="s">
        <v>21</v>
      </c>
      <c r="C210" s="45"/>
      <c r="D210" s="45"/>
      <c r="E210" s="46"/>
      <c r="F210" s="76"/>
      <c r="G210" s="82"/>
      <c r="H210" s="83"/>
    </row>
    <row r="211" spans="2:8" ht="17.25" thickBot="1">
      <c r="B211" s="49" t="s">
        <v>621</v>
      </c>
      <c r="C211" s="50"/>
      <c r="D211" s="70" t="s">
        <v>622</v>
      </c>
      <c r="E211" s="68" t="s">
        <v>623</v>
      </c>
      <c r="F211" s="47" t="s">
        <v>192</v>
      </c>
      <c r="G211" s="73" t="s">
        <v>99</v>
      </c>
      <c r="H211" s="73" t="s">
        <v>100</v>
      </c>
    </row>
    <row r="212" spans="2:8" ht="17.25" thickBot="1">
      <c r="B212" s="69" t="s">
        <v>624</v>
      </c>
      <c r="C212" s="65" t="s">
        <v>625</v>
      </c>
      <c r="D212" s="69" t="s">
        <v>626</v>
      </c>
      <c r="E212" s="65" t="s">
        <v>627</v>
      </c>
      <c r="F212" s="48"/>
      <c r="G212" s="74" t="s">
        <v>628</v>
      </c>
      <c r="H212" s="74" t="s">
        <v>629</v>
      </c>
    </row>
    <row r="219" spans="2:8" ht="17.25" thickBot="1"/>
    <row r="220" spans="2:8" ht="39" thickBot="1">
      <c r="B220" s="110" t="s">
        <v>190</v>
      </c>
      <c r="C220" s="111"/>
      <c r="D220" s="112"/>
    </row>
    <row r="221" spans="2:8" ht="17.25" customHeight="1">
      <c r="B221" s="79" t="s">
        <v>142</v>
      </c>
      <c r="C221" s="79" t="s">
        <v>144</v>
      </c>
      <c r="D221" s="79" t="s">
        <v>146</v>
      </c>
    </row>
    <row r="222" spans="2:8" ht="17.25" customHeight="1" thickBot="1">
      <c r="B222" s="80">
        <v>2.7199999999999998E-2</v>
      </c>
      <c r="C222" s="81">
        <v>1.7899999999999999E-2</v>
      </c>
      <c r="D222" s="81">
        <v>1.9599999999999999E-2</v>
      </c>
    </row>
    <row r="223" spans="2:8" ht="17.25" thickBot="1"/>
    <row r="224" spans="2:8" ht="17.25" thickBot="1">
      <c r="B224" s="58" t="s">
        <v>193</v>
      </c>
      <c r="C224" s="59"/>
      <c r="D224" s="60"/>
    </row>
    <row r="225" spans="2:9">
      <c r="B225" s="79" t="s">
        <v>192</v>
      </c>
      <c r="C225" s="79" t="s">
        <v>195</v>
      </c>
      <c r="D225" s="79" t="s">
        <v>196</v>
      </c>
    </row>
    <row r="226" spans="2:9" ht="17.25" thickBot="1">
      <c r="B226" s="94">
        <v>0.50116058614029801</v>
      </c>
      <c r="C226" s="94">
        <v>0.47763445128001586</v>
      </c>
      <c r="D226" s="105">
        <v>0.48868778280542985</v>
      </c>
    </row>
    <row r="227" spans="2:9" ht="17.25" thickBot="1">
      <c r="B227" s="95"/>
      <c r="C227" s="95"/>
      <c r="D227" s="95"/>
    </row>
    <row r="228" spans="2:9" ht="17.25" thickBot="1">
      <c r="B228" s="101" t="s">
        <v>197</v>
      </c>
      <c r="C228" s="102"/>
      <c r="D228" s="103"/>
    </row>
    <row r="229" spans="2:9">
      <c r="B229" s="99" t="s">
        <v>192</v>
      </c>
      <c r="C229" s="99" t="s">
        <v>195</v>
      </c>
      <c r="D229" s="99" t="s">
        <v>196</v>
      </c>
    </row>
    <row r="230" spans="2:9" ht="17.25" thickBot="1">
      <c r="B230" s="94">
        <v>0.45544589542321529</v>
      </c>
      <c r="C230" s="94">
        <v>0.47115499106965669</v>
      </c>
      <c r="D230" s="94">
        <v>0.46270581564699209</v>
      </c>
    </row>
    <row r="231" spans="2:9" ht="17.25" thickBot="1"/>
    <row r="232" spans="2:9" ht="17.25" thickBot="1">
      <c r="B232" s="44" t="s">
        <v>6</v>
      </c>
      <c r="C232" s="45"/>
      <c r="D232" s="45"/>
      <c r="E232" s="46"/>
      <c r="F232" s="76" t="s">
        <v>202</v>
      </c>
      <c r="G232" s="49" t="s">
        <v>203</v>
      </c>
      <c r="H232" s="51"/>
      <c r="I232" s="52"/>
    </row>
    <row r="233" spans="2:9" ht="17.25" thickBot="1">
      <c r="B233" s="49" t="s">
        <v>630</v>
      </c>
      <c r="C233" s="50"/>
      <c r="D233" s="70" t="s">
        <v>631</v>
      </c>
      <c r="E233" s="68" t="s">
        <v>632</v>
      </c>
      <c r="F233" s="47" t="s">
        <v>207</v>
      </c>
      <c r="G233" s="73" t="s">
        <v>74</v>
      </c>
      <c r="H233" s="73" t="s">
        <v>75</v>
      </c>
      <c r="I233" s="73" t="s">
        <v>76</v>
      </c>
    </row>
    <row r="234" spans="2:9" ht="17.25" thickBot="1">
      <c r="B234" s="69" t="s">
        <v>633</v>
      </c>
      <c r="C234" s="65" t="s">
        <v>634</v>
      </c>
      <c r="D234" s="69" t="s">
        <v>635</v>
      </c>
      <c r="E234" s="65" t="s">
        <v>636</v>
      </c>
      <c r="F234" s="48"/>
      <c r="G234" s="74" t="s">
        <v>637</v>
      </c>
      <c r="H234" s="74" t="s">
        <v>638</v>
      </c>
      <c r="I234" s="74" t="s">
        <v>639</v>
      </c>
    </row>
    <row r="235" spans="2:9" ht="17.25" thickBot="1">
      <c r="B235" s="44" t="s">
        <v>9</v>
      </c>
      <c r="C235" s="45"/>
      <c r="D235" s="45"/>
      <c r="E235" s="46"/>
      <c r="F235" s="76"/>
      <c r="G235" s="82"/>
      <c r="H235" s="84"/>
      <c r="I235" s="85"/>
    </row>
    <row r="236" spans="2:9" ht="17.25" thickBot="1">
      <c r="B236" s="49" t="s">
        <v>640</v>
      </c>
      <c r="C236" s="50"/>
      <c r="D236" s="70" t="s">
        <v>641</v>
      </c>
      <c r="E236" s="68" t="s">
        <v>642</v>
      </c>
      <c r="F236" s="47" t="s">
        <v>217</v>
      </c>
      <c r="G236" s="73" t="s">
        <v>74</v>
      </c>
      <c r="H236" s="73" t="s">
        <v>75</v>
      </c>
      <c r="I236" s="73" t="s">
        <v>76</v>
      </c>
    </row>
    <row r="237" spans="2:9" ht="17.25" thickBot="1">
      <c r="B237" s="69" t="s">
        <v>643</v>
      </c>
      <c r="C237" s="65" t="s">
        <v>644</v>
      </c>
      <c r="D237" s="69" t="s">
        <v>645</v>
      </c>
      <c r="E237" s="65" t="s">
        <v>646</v>
      </c>
      <c r="F237" s="48"/>
      <c r="G237" s="74" t="s">
        <v>647</v>
      </c>
      <c r="H237" s="74" t="s">
        <v>648</v>
      </c>
      <c r="I237" s="74" t="s">
        <v>649</v>
      </c>
    </row>
    <row r="238" spans="2:9" ht="17.25" thickBot="1">
      <c r="B238" s="44" t="s">
        <v>13</v>
      </c>
      <c r="C238" s="45"/>
      <c r="D238" s="45"/>
      <c r="E238" s="46"/>
      <c r="F238" s="76"/>
      <c r="G238" s="82"/>
      <c r="H238" s="84"/>
      <c r="I238" s="85"/>
    </row>
    <row r="239" spans="2:9" ht="17.25" thickBot="1">
      <c r="B239" s="49" t="s">
        <v>650</v>
      </c>
      <c r="C239" s="50"/>
      <c r="D239" s="70" t="s">
        <v>651</v>
      </c>
      <c r="E239" s="68" t="s">
        <v>652</v>
      </c>
      <c r="F239" s="47" t="s">
        <v>217</v>
      </c>
      <c r="G239" s="73" t="s">
        <v>74</v>
      </c>
      <c r="H239" s="73" t="s">
        <v>75</v>
      </c>
      <c r="I239" s="73" t="s">
        <v>76</v>
      </c>
    </row>
    <row r="240" spans="2:9" ht="17.25" thickBot="1">
      <c r="B240" s="69" t="s">
        <v>227</v>
      </c>
      <c r="C240" s="65" t="s">
        <v>228</v>
      </c>
      <c r="D240" s="69" t="s">
        <v>599</v>
      </c>
      <c r="E240" s="65" t="s">
        <v>600</v>
      </c>
      <c r="F240" s="48"/>
      <c r="G240" s="74" t="s">
        <v>653</v>
      </c>
      <c r="H240" s="74" t="s">
        <v>654</v>
      </c>
      <c r="I240" s="74" t="s">
        <v>655</v>
      </c>
    </row>
    <row r="241" spans="2:9" ht="17.25" thickBot="1">
      <c r="B241" s="44" t="s">
        <v>14</v>
      </c>
      <c r="C241" s="45"/>
      <c r="D241" s="45"/>
      <c r="E241" s="46"/>
      <c r="F241" s="76"/>
      <c r="G241" s="82"/>
      <c r="H241" s="84"/>
      <c r="I241" s="85"/>
    </row>
    <row r="242" spans="2:9" ht="17.25" thickBot="1">
      <c r="B242" s="49" t="s">
        <v>656</v>
      </c>
      <c r="C242" s="50"/>
      <c r="D242" s="70" t="s">
        <v>657</v>
      </c>
      <c r="E242" s="68" t="s">
        <v>658</v>
      </c>
      <c r="F242" s="47" t="s">
        <v>195</v>
      </c>
      <c r="G242" s="73" t="s">
        <v>74</v>
      </c>
      <c r="H242" s="73" t="s">
        <v>75</v>
      </c>
      <c r="I242" s="73" t="s">
        <v>76</v>
      </c>
    </row>
    <row r="243" spans="2:9" ht="17.25" thickBot="1">
      <c r="B243" s="69" t="s">
        <v>659</v>
      </c>
      <c r="C243" s="65" t="s">
        <v>660</v>
      </c>
      <c r="D243" s="69" t="s">
        <v>661</v>
      </c>
      <c r="E243" s="65" t="s">
        <v>662</v>
      </c>
      <c r="F243" s="48"/>
      <c r="G243" s="74" t="s">
        <v>663</v>
      </c>
      <c r="H243" s="74" t="s">
        <v>664</v>
      </c>
      <c r="I243" s="74" t="s">
        <v>665</v>
      </c>
    </row>
    <row r="244" spans="2:9" ht="17.25" thickBot="1">
      <c r="B244" s="44" t="s">
        <v>15</v>
      </c>
      <c r="C244" s="45"/>
      <c r="D244" s="45"/>
      <c r="E244" s="46"/>
      <c r="F244" s="76"/>
      <c r="G244" s="82"/>
      <c r="H244" s="84"/>
      <c r="I244" s="85"/>
    </row>
    <row r="245" spans="2:9" ht="17.25" thickBot="1">
      <c r="B245" s="49" t="s">
        <v>666</v>
      </c>
      <c r="C245" s="50"/>
      <c r="D245" s="70" t="s">
        <v>667</v>
      </c>
      <c r="E245" s="68" t="s">
        <v>668</v>
      </c>
      <c r="F245" s="47" t="s">
        <v>195</v>
      </c>
      <c r="G245" s="73" t="s">
        <v>74</v>
      </c>
      <c r="H245" s="73" t="s">
        <v>75</v>
      </c>
      <c r="I245" s="73" t="s">
        <v>76</v>
      </c>
    </row>
    <row r="246" spans="2:9" ht="17.25" thickBot="1">
      <c r="B246" s="69" t="s">
        <v>669</v>
      </c>
      <c r="C246" s="65" t="s">
        <v>670</v>
      </c>
      <c r="D246" s="69" t="s">
        <v>635</v>
      </c>
      <c r="E246" s="65" t="s">
        <v>636</v>
      </c>
      <c r="F246" s="48"/>
      <c r="G246" s="74" t="s">
        <v>671</v>
      </c>
      <c r="H246" s="74" t="s">
        <v>672</v>
      </c>
      <c r="I246" s="74" t="s">
        <v>673</v>
      </c>
    </row>
    <row r="247" spans="2:9" ht="17.25" thickBot="1">
      <c r="B247" s="44" t="s">
        <v>16</v>
      </c>
      <c r="C247" s="45"/>
      <c r="D247" s="45"/>
      <c r="E247" s="46"/>
      <c r="F247" s="76"/>
      <c r="G247" s="82"/>
      <c r="H247" s="84"/>
      <c r="I247" s="85"/>
    </row>
    <row r="248" spans="2:9" ht="17.25" thickBot="1">
      <c r="B248" s="49" t="s">
        <v>674</v>
      </c>
      <c r="C248" s="50"/>
      <c r="D248" s="70" t="s">
        <v>675</v>
      </c>
      <c r="E248" s="68" t="s">
        <v>676</v>
      </c>
      <c r="F248" s="47" t="s">
        <v>195</v>
      </c>
      <c r="G248" s="73" t="s">
        <v>74</v>
      </c>
      <c r="H248" s="73" t="s">
        <v>75</v>
      </c>
      <c r="I248" s="73" t="s">
        <v>76</v>
      </c>
    </row>
    <row r="249" spans="2:9" ht="17.25" thickBot="1">
      <c r="B249" s="69" t="s">
        <v>677</v>
      </c>
      <c r="C249" s="65" t="s">
        <v>678</v>
      </c>
      <c r="D249" s="69" t="s">
        <v>274</v>
      </c>
      <c r="E249" s="65" t="s">
        <v>275</v>
      </c>
      <c r="F249" s="48"/>
      <c r="G249" s="74" t="s">
        <v>679</v>
      </c>
      <c r="H249" s="74" t="s">
        <v>680</v>
      </c>
      <c r="I249" s="74" t="s">
        <v>681</v>
      </c>
    </row>
    <row r="250" spans="2:9" ht="17.25" thickBot="1">
      <c r="B250" s="44" t="s">
        <v>17</v>
      </c>
      <c r="C250" s="45"/>
      <c r="D250" s="45"/>
      <c r="E250" s="46"/>
      <c r="F250" s="76"/>
      <c r="G250" s="82"/>
      <c r="H250" s="84"/>
      <c r="I250" s="85"/>
    </row>
    <row r="251" spans="2:9" ht="17.25" thickBot="1">
      <c r="B251" s="49" t="s">
        <v>682</v>
      </c>
      <c r="C251" s="50"/>
      <c r="D251" s="70" t="s">
        <v>683</v>
      </c>
      <c r="E251" s="68" t="s">
        <v>684</v>
      </c>
      <c r="F251" s="47" t="s">
        <v>196</v>
      </c>
      <c r="G251" s="73" t="s">
        <v>74</v>
      </c>
      <c r="H251" s="73" t="s">
        <v>75</v>
      </c>
      <c r="I251" s="73" t="s">
        <v>76</v>
      </c>
    </row>
    <row r="252" spans="2:9" ht="17.25" thickBot="1">
      <c r="B252" s="69" t="s">
        <v>588</v>
      </c>
      <c r="C252" s="65" t="s">
        <v>589</v>
      </c>
      <c r="D252" s="69" t="s">
        <v>685</v>
      </c>
      <c r="E252" s="65" t="s">
        <v>686</v>
      </c>
      <c r="F252" s="48"/>
      <c r="G252" s="74" t="s">
        <v>687</v>
      </c>
      <c r="H252" s="74" t="s">
        <v>688</v>
      </c>
      <c r="I252" s="74" t="s">
        <v>689</v>
      </c>
    </row>
    <row r="253" spans="2:9" ht="17.25" thickBot="1">
      <c r="B253" s="44" t="s">
        <v>18</v>
      </c>
      <c r="C253" s="45"/>
      <c r="D253" s="45"/>
      <c r="E253" s="46"/>
      <c r="F253" s="76"/>
      <c r="G253" s="82"/>
      <c r="H253" s="84"/>
      <c r="I253" s="85"/>
    </row>
    <row r="254" spans="2:9" ht="17.25" thickBot="1">
      <c r="B254" s="49" t="s">
        <v>690</v>
      </c>
      <c r="C254" s="50"/>
      <c r="D254" s="70" t="s">
        <v>691</v>
      </c>
      <c r="E254" s="68" t="s">
        <v>692</v>
      </c>
      <c r="F254" s="47" t="s">
        <v>196</v>
      </c>
      <c r="G254" s="73" t="s">
        <v>74</v>
      </c>
      <c r="H254" s="73" t="s">
        <v>75</v>
      </c>
      <c r="I254" s="73" t="s">
        <v>76</v>
      </c>
    </row>
    <row r="255" spans="2:9" ht="17.25" thickBot="1">
      <c r="B255" s="69" t="s">
        <v>693</v>
      </c>
      <c r="C255" s="65" t="s">
        <v>694</v>
      </c>
      <c r="D255" s="69" t="s">
        <v>695</v>
      </c>
      <c r="E255" s="65" t="s">
        <v>696</v>
      </c>
      <c r="F255" s="48"/>
      <c r="G255" s="74" t="s">
        <v>697</v>
      </c>
      <c r="H255" s="74" t="s">
        <v>698</v>
      </c>
      <c r="I255" s="74" t="s">
        <v>699</v>
      </c>
    </row>
    <row r="256" spans="2:9" ht="17.25" thickBot="1">
      <c r="B256" s="44" t="s">
        <v>19</v>
      </c>
      <c r="C256" s="45"/>
      <c r="D256" s="45"/>
      <c r="E256" s="46"/>
      <c r="F256" s="76"/>
      <c r="G256" s="82"/>
      <c r="H256" s="84"/>
      <c r="I256" s="85"/>
    </row>
    <row r="257" spans="2:9" ht="17.25" thickBot="1">
      <c r="B257" s="49" t="s">
        <v>700</v>
      </c>
      <c r="C257" s="50"/>
      <c r="D257" s="70" t="s">
        <v>701</v>
      </c>
      <c r="E257" s="68" t="s">
        <v>702</v>
      </c>
      <c r="F257" s="47" t="s">
        <v>196</v>
      </c>
      <c r="G257" s="73" t="s">
        <v>74</v>
      </c>
      <c r="H257" s="73" t="s">
        <v>75</v>
      </c>
      <c r="I257" s="73" t="s">
        <v>76</v>
      </c>
    </row>
    <row r="258" spans="2:9" ht="17.25" thickBot="1">
      <c r="B258" s="69" t="s">
        <v>703</v>
      </c>
      <c r="C258" s="65" t="s">
        <v>704</v>
      </c>
      <c r="D258" s="69" t="s">
        <v>705</v>
      </c>
      <c r="E258" s="65" t="s">
        <v>706</v>
      </c>
      <c r="F258" s="48"/>
      <c r="G258" s="74" t="s">
        <v>707</v>
      </c>
      <c r="H258" s="74" t="s">
        <v>708</v>
      </c>
      <c r="I258" s="74" t="s">
        <v>709</v>
      </c>
    </row>
    <row r="259" spans="2:9" ht="17.25" thickBot="1">
      <c r="B259" s="44" t="s">
        <v>20</v>
      </c>
      <c r="C259" s="45"/>
      <c r="D259" s="45"/>
      <c r="E259" s="46"/>
      <c r="F259" s="76"/>
      <c r="G259" s="82"/>
      <c r="H259" s="84"/>
      <c r="I259" s="85"/>
    </row>
    <row r="260" spans="2:9" ht="17.25" thickBot="1">
      <c r="B260" s="49" t="s">
        <v>710</v>
      </c>
      <c r="C260" s="50"/>
      <c r="D260" s="70" t="s">
        <v>711</v>
      </c>
      <c r="E260" s="68" t="s">
        <v>684</v>
      </c>
      <c r="F260" s="47" t="s">
        <v>192</v>
      </c>
      <c r="G260" s="73" t="s">
        <v>74</v>
      </c>
      <c r="H260" s="73" t="s">
        <v>75</v>
      </c>
      <c r="I260" s="73" t="s">
        <v>76</v>
      </c>
    </row>
    <row r="261" spans="2:9" ht="17.25" thickBot="1">
      <c r="B261" s="69" t="s">
        <v>712</v>
      </c>
      <c r="C261" s="65" t="s">
        <v>713</v>
      </c>
      <c r="D261" s="69" t="s">
        <v>714</v>
      </c>
      <c r="E261" s="65" t="s">
        <v>715</v>
      </c>
      <c r="F261" s="48"/>
      <c r="G261" s="74" t="s">
        <v>716</v>
      </c>
      <c r="H261" s="74" t="s">
        <v>717</v>
      </c>
      <c r="I261" s="74" t="s">
        <v>718</v>
      </c>
    </row>
    <row r="262" spans="2:9" ht="17.25" thickBot="1">
      <c r="B262" s="44" t="s">
        <v>21</v>
      </c>
      <c r="C262" s="45"/>
      <c r="D262" s="45"/>
      <c r="E262" s="46"/>
      <c r="F262" s="76"/>
      <c r="G262" s="82"/>
      <c r="H262" s="84"/>
      <c r="I262" s="85"/>
    </row>
    <row r="263" spans="2:9" ht="17.25" thickBot="1">
      <c r="B263" s="49" t="s">
        <v>719</v>
      </c>
      <c r="C263" s="50"/>
      <c r="D263" s="70" t="s">
        <v>720</v>
      </c>
      <c r="E263" s="68" t="s">
        <v>721</v>
      </c>
      <c r="F263" s="47" t="s">
        <v>192</v>
      </c>
      <c r="G263" s="73" t="s">
        <v>74</v>
      </c>
      <c r="H263" s="73" t="s">
        <v>75</v>
      </c>
      <c r="I263" s="73" t="s">
        <v>76</v>
      </c>
    </row>
    <row r="264" spans="2:9" ht="17.25" thickBot="1">
      <c r="B264" s="69" t="s">
        <v>299</v>
      </c>
      <c r="C264" s="65" t="s">
        <v>300</v>
      </c>
      <c r="D264" s="69" t="s">
        <v>722</v>
      </c>
      <c r="E264" s="65" t="s">
        <v>723</v>
      </c>
      <c r="F264" s="48"/>
      <c r="G264" s="74" t="s">
        <v>724</v>
      </c>
      <c r="H264" s="74" t="s">
        <v>725</v>
      </c>
      <c r="I264" s="74" t="s">
        <v>726</v>
      </c>
    </row>
  </sheetData>
  <mergeCells count="182">
    <mergeCell ref="B263:C263"/>
    <mergeCell ref="F263:F264"/>
    <mergeCell ref="B224:D224"/>
    <mergeCell ref="B228:D228"/>
    <mergeCell ref="B259:E259"/>
    <mergeCell ref="B260:C260"/>
    <mergeCell ref="F260:F261"/>
    <mergeCell ref="B262:E262"/>
    <mergeCell ref="B254:C254"/>
    <mergeCell ref="F254:F255"/>
    <mergeCell ref="B256:E256"/>
    <mergeCell ref="B257:C257"/>
    <mergeCell ref="F257:F258"/>
    <mergeCell ref="B250:E250"/>
    <mergeCell ref="B251:C251"/>
    <mergeCell ref="F251:F252"/>
    <mergeCell ref="B253:E253"/>
    <mergeCell ref="B245:C245"/>
    <mergeCell ref="F245:F246"/>
    <mergeCell ref="B247:E247"/>
    <mergeCell ref="B248:C248"/>
    <mergeCell ref="F248:F249"/>
    <mergeCell ref="B208:C208"/>
    <mergeCell ref="B205:C205"/>
    <mergeCell ref="B202:C202"/>
    <mergeCell ref="B199:C199"/>
    <mergeCell ref="B220:D220"/>
    <mergeCell ref="F205:F206"/>
    <mergeCell ref="F208:F209"/>
    <mergeCell ref="F187:F188"/>
    <mergeCell ref="F190:F191"/>
    <mergeCell ref="F193:F194"/>
    <mergeCell ref="F196:F197"/>
    <mergeCell ref="B207:E207"/>
    <mergeCell ref="B204:E204"/>
    <mergeCell ref="B201:E201"/>
    <mergeCell ref="B198:E198"/>
    <mergeCell ref="B195:E195"/>
    <mergeCell ref="B196:C196"/>
    <mergeCell ref="B238:E238"/>
    <mergeCell ref="B239:C239"/>
    <mergeCell ref="F239:F240"/>
    <mergeCell ref="B241:E241"/>
    <mergeCell ref="B242:C242"/>
    <mergeCell ref="F242:F243"/>
    <mergeCell ref="B244:E244"/>
    <mergeCell ref="B232:E232"/>
    <mergeCell ref="G232:I232"/>
    <mergeCell ref="B233:C233"/>
    <mergeCell ref="F233:F234"/>
    <mergeCell ref="B235:E235"/>
    <mergeCell ref="B236:C236"/>
    <mergeCell ref="F236:F237"/>
    <mergeCell ref="B210:E210"/>
    <mergeCell ref="B211:C211"/>
    <mergeCell ref="F211:F212"/>
    <mergeCell ref="F199:F200"/>
    <mergeCell ref="F202:F203"/>
    <mergeCell ref="G183:H183"/>
    <mergeCell ref="B186:E186"/>
    <mergeCell ref="B187:C187"/>
    <mergeCell ref="B149:C149"/>
    <mergeCell ref="B155:C155"/>
    <mergeCell ref="F155:F156"/>
    <mergeCell ref="F149:F150"/>
    <mergeCell ref="F146:F147"/>
    <mergeCell ref="B148:E148"/>
    <mergeCell ref="B145:E145"/>
    <mergeCell ref="B142:E142"/>
    <mergeCell ref="B139:E139"/>
    <mergeCell ref="B136:E136"/>
    <mergeCell ref="B137:C137"/>
    <mergeCell ref="B140:C140"/>
    <mergeCell ref="B143:C143"/>
    <mergeCell ref="B146:C146"/>
    <mergeCell ref="B154:E154"/>
    <mergeCell ref="B177:E177"/>
    <mergeCell ref="B168:D168"/>
    <mergeCell ref="B172:D172"/>
    <mergeCell ref="B164:D164"/>
    <mergeCell ref="B184:C184"/>
    <mergeCell ref="F184:F185"/>
    <mergeCell ref="B192:E192"/>
    <mergeCell ref="B189:E189"/>
    <mergeCell ref="B193:C193"/>
    <mergeCell ref="B190:C190"/>
    <mergeCell ref="B183:E183"/>
    <mergeCell ref="B151:E151"/>
    <mergeCell ref="B152:C152"/>
    <mergeCell ref="F152:F153"/>
    <mergeCell ref="F143:F144"/>
    <mergeCell ref="F140:F141"/>
    <mergeCell ref="F137:F138"/>
    <mergeCell ref="B127:E127"/>
    <mergeCell ref="G127:K127"/>
    <mergeCell ref="B128:C128"/>
    <mergeCell ref="F128:F129"/>
    <mergeCell ref="B133:E133"/>
    <mergeCell ref="B130:E130"/>
    <mergeCell ref="B131:C131"/>
    <mergeCell ref="B134:C134"/>
    <mergeCell ref="F134:F135"/>
    <mergeCell ref="F131:F132"/>
    <mergeCell ref="F24:F25"/>
    <mergeCell ref="B24:C24"/>
    <mergeCell ref="B21:C21"/>
    <mergeCell ref="B18:C18"/>
    <mergeCell ref="G17:H17"/>
    <mergeCell ref="B99:E99"/>
    <mergeCell ref="B100:C100"/>
    <mergeCell ref="F100:F101"/>
    <mergeCell ref="B121:E121"/>
    <mergeCell ref="B117:D117"/>
    <mergeCell ref="B113:D113"/>
    <mergeCell ref="B109:D109"/>
    <mergeCell ref="B94:C94"/>
    <mergeCell ref="F94:F95"/>
    <mergeCell ref="B96:E96"/>
    <mergeCell ref="B97:C97"/>
    <mergeCell ref="F97:F98"/>
    <mergeCell ref="B90:E90"/>
    <mergeCell ref="B91:C91"/>
    <mergeCell ref="F91:F92"/>
    <mergeCell ref="B93:E93"/>
    <mergeCell ref="B85:C85"/>
    <mergeCell ref="F85:F86"/>
    <mergeCell ref="B87:E87"/>
    <mergeCell ref="B88:C88"/>
    <mergeCell ref="F88:F89"/>
    <mergeCell ref="B81:E81"/>
    <mergeCell ref="B82:C82"/>
    <mergeCell ref="F82:F83"/>
    <mergeCell ref="B84:E84"/>
    <mergeCell ref="B69:E69"/>
    <mergeCell ref="G69:L69"/>
    <mergeCell ref="B70:C70"/>
    <mergeCell ref="F70:F71"/>
    <mergeCell ref="B72:E72"/>
    <mergeCell ref="B73:C73"/>
    <mergeCell ref="F73:F74"/>
    <mergeCell ref="B75:E75"/>
    <mergeCell ref="B76:C76"/>
    <mergeCell ref="F76:F77"/>
    <mergeCell ref="B78:E78"/>
    <mergeCell ref="B79:C79"/>
    <mergeCell ref="F79:F80"/>
    <mergeCell ref="B48:C48"/>
    <mergeCell ref="F48:F49"/>
    <mergeCell ref="B44:E44"/>
    <mergeCell ref="B45:C45"/>
    <mergeCell ref="F45:F46"/>
    <mergeCell ref="B47:E47"/>
    <mergeCell ref="B39:C39"/>
    <mergeCell ref="F39:F40"/>
    <mergeCell ref="B41:E41"/>
    <mergeCell ref="B42:C42"/>
    <mergeCell ref="F42:F43"/>
    <mergeCell ref="B35:E35"/>
    <mergeCell ref="B36:C36"/>
    <mergeCell ref="F36:F37"/>
    <mergeCell ref="B38:E38"/>
    <mergeCell ref="B30:C30"/>
    <mergeCell ref="F30:F31"/>
    <mergeCell ref="B32:E32"/>
    <mergeCell ref="B33:C33"/>
    <mergeCell ref="F33:F34"/>
    <mergeCell ref="B26:E26"/>
    <mergeCell ref="B27:C27"/>
    <mergeCell ref="F27:F28"/>
    <mergeCell ref="B29:E29"/>
    <mergeCell ref="B61:D61"/>
    <mergeCell ref="B57:D57"/>
    <mergeCell ref="B65:D65"/>
    <mergeCell ref="B17:E17"/>
    <mergeCell ref="B20:E20"/>
    <mergeCell ref="B23:E23"/>
    <mergeCell ref="F18:F19"/>
    <mergeCell ref="F21:F22"/>
    <mergeCell ref="B3:D3"/>
    <mergeCell ref="B9:D9"/>
    <mergeCell ref="B13:D13"/>
    <mergeCell ref="B5:D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B335-A13F-42E9-BA77-14033976EF67}">
  <dimension ref="A1:X48"/>
  <sheetViews>
    <sheetView topLeftCell="A10" zoomScale="70" zoomScaleNormal="70" workbookViewId="0">
      <selection activeCell="V36" sqref="P4:V36"/>
    </sheetView>
  </sheetViews>
  <sheetFormatPr defaultRowHeight="16.5"/>
  <cols>
    <col min="4" max="4" width="20.375" bestFit="1" customWidth="1"/>
    <col min="5" max="5" width="11.375" bestFit="1" customWidth="1"/>
    <col min="8" max="8" width="14.75" customWidth="1"/>
    <col min="9" max="9" width="16.375" customWidth="1"/>
    <col min="16" max="17" width="14.625" bestFit="1" customWidth="1"/>
    <col min="18" max="18" width="19.25" bestFit="1" customWidth="1"/>
    <col min="19" max="19" width="17.625" bestFit="1" customWidth="1"/>
    <col min="21" max="21" width="19.25" bestFit="1" customWidth="1"/>
    <col min="22" max="22" width="16.125" bestFit="1" customWidth="1"/>
    <col min="23" max="23" width="14" customWidth="1"/>
  </cols>
  <sheetData>
    <row r="1" spans="1:24">
      <c r="A1" s="38" t="s">
        <v>107</v>
      </c>
      <c r="B1" s="38" t="s">
        <v>108</v>
      </c>
      <c r="C1" s="38" t="s">
        <v>109</v>
      </c>
      <c r="D1" s="38" t="s">
        <v>110</v>
      </c>
      <c r="E1" s="38" t="s">
        <v>111</v>
      </c>
      <c r="F1" s="38" t="s">
        <v>112</v>
      </c>
      <c r="G1" s="38" t="s">
        <v>113</v>
      </c>
      <c r="H1" s="38" t="s">
        <v>114</v>
      </c>
      <c r="I1" s="38"/>
      <c r="J1" s="38"/>
      <c r="K1" s="38"/>
      <c r="L1" s="38"/>
      <c r="M1" s="38" t="s">
        <v>115</v>
      </c>
      <c r="N1" s="38" t="s">
        <v>116</v>
      </c>
      <c r="O1" s="38" t="s">
        <v>117</v>
      </c>
    </row>
    <row r="2" spans="1:24">
      <c r="A2" s="38"/>
      <c r="B2" s="38"/>
      <c r="C2" s="38"/>
      <c r="D2" s="38"/>
      <c r="E2" s="38"/>
      <c r="F2" s="38" t="s">
        <v>112</v>
      </c>
      <c r="G2" s="38" t="s">
        <v>112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38" t="s">
        <v>112</v>
      </c>
      <c r="N2" s="38" t="s">
        <v>112</v>
      </c>
      <c r="O2" s="38" t="s">
        <v>112</v>
      </c>
    </row>
    <row r="3" spans="1:24" ht="165.75" thickBot="1">
      <c r="A3" s="2" t="s">
        <v>0</v>
      </c>
      <c r="B3" s="2" t="s">
        <v>1</v>
      </c>
      <c r="C3" s="2" t="s">
        <v>1</v>
      </c>
      <c r="D3" s="2" t="s">
        <v>2</v>
      </c>
      <c r="E3" s="2" t="s">
        <v>2</v>
      </c>
      <c r="F3" s="2" t="s">
        <v>2</v>
      </c>
      <c r="G3" s="2" t="s">
        <v>2</v>
      </c>
      <c r="H3" s="3" t="s">
        <v>3</v>
      </c>
      <c r="I3" s="3" t="s">
        <v>4</v>
      </c>
      <c r="J3" s="3" t="s">
        <v>5</v>
      </c>
      <c r="K3" s="3" t="s">
        <v>5</v>
      </c>
      <c r="L3" s="3" t="s">
        <v>5</v>
      </c>
      <c r="M3" s="2" t="s">
        <v>2</v>
      </c>
      <c r="N3" s="2" t="s">
        <v>2</v>
      </c>
      <c r="O3" s="2" t="s">
        <v>2</v>
      </c>
      <c r="Q3" s="1" t="str">
        <f>_xlfn.TEXTJOIN(CHAR(10),TRUE,P7,P10,P13,P16,P19,P22,P25,P28,P31,P34)</f>
        <v>심곡동
부천동
중동
신중동
상동
대산동
소사본동
범안동
성곡동
오정동</v>
      </c>
    </row>
    <row r="4" spans="1:24" ht="17.25" thickBot="1">
      <c r="A4" s="2" t="s">
        <v>0</v>
      </c>
      <c r="B4" s="2" t="s">
        <v>1</v>
      </c>
      <c r="C4" s="2" t="s">
        <v>1</v>
      </c>
      <c r="D4" s="2" t="s">
        <v>6</v>
      </c>
      <c r="E4" s="2" t="s">
        <v>2</v>
      </c>
      <c r="F4" s="7">
        <v>702974</v>
      </c>
      <c r="G4" s="7">
        <v>347476</v>
      </c>
      <c r="H4" s="7">
        <v>180005</v>
      </c>
      <c r="I4" s="7">
        <v>162895</v>
      </c>
      <c r="J4" s="8">
        <v>0</v>
      </c>
      <c r="K4" s="8">
        <v>0</v>
      </c>
      <c r="L4" s="8">
        <v>0</v>
      </c>
      <c r="M4" s="7">
        <v>342900</v>
      </c>
      <c r="N4" s="7">
        <v>4576</v>
      </c>
      <c r="O4" s="7">
        <v>355498</v>
      </c>
      <c r="P4" s="44" t="str">
        <f>D4</f>
        <v>합계</v>
      </c>
      <c r="Q4" s="53"/>
      <c r="R4" s="53"/>
      <c r="S4" s="54"/>
      <c r="T4" s="30" t="s">
        <v>138</v>
      </c>
      <c r="U4" s="49" t="s">
        <v>136</v>
      </c>
      <c r="V4" s="50"/>
    </row>
    <row r="5" spans="1:24" ht="17.25" thickBot="1">
      <c r="A5" s="2" t="s">
        <v>0</v>
      </c>
      <c r="B5" s="2" t="s">
        <v>1</v>
      </c>
      <c r="C5" s="2" t="s">
        <v>1</v>
      </c>
      <c r="D5" s="2" t="s">
        <v>7</v>
      </c>
      <c r="E5" s="2" t="s">
        <v>2</v>
      </c>
      <c r="F5" s="8">
        <v>888</v>
      </c>
      <c r="G5" s="8">
        <v>838</v>
      </c>
      <c r="H5" s="8">
        <v>372</v>
      </c>
      <c r="I5" s="8">
        <v>366</v>
      </c>
      <c r="J5" s="8">
        <v>0</v>
      </c>
      <c r="K5" s="8">
        <v>0</v>
      </c>
      <c r="L5" s="8">
        <v>0</v>
      </c>
      <c r="M5" s="8">
        <v>738</v>
      </c>
      <c r="N5" s="8">
        <v>100</v>
      </c>
      <c r="O5" s="8">
        <v>50</v>
      </c>
      <c r="P5" s="40" t="str">
        <f>"투표수: "&amp;TEXT((SUM(H4:L4)+N4), "#,##0")</f>
        <v>투표수: 347,476</v>
      </c>
      <c r="Q5" s="42"/>
      <c r="R5" s="18" t="str">
        <f>"유효투표수: "&amp;TEXT(SUM(H4:L4),"#,##0")</f>
        <v>유효투표수: 342,900</v>
      </c>
      <c r="S5" s="16" t="str">
        <f>"무효투표수: "&amp;TEXT(N4, "#,##0")</f>
        <v>무효투표수: 4,576</v>
      </c>
      <c r="T5" s="47" t="s">
        <v>148</v>
      </c>
      <c r="U5" s="34" t="str">
        <f>$H$3</f>
        <v>더불어민주당
조용익</v>
      </c>
      <c r="V5" s="34" t="str">
        <f>$I$3</f>
        <v>국민의힘
서영석</v>
      </c>
    </row>
    <row r="6" spans="1:24" ht="17.25" thickBot="1">
      <c r="A6" s="2" t="s">
        <v>0</v>
      </c>
      <c r="B6" s="2" t="s">
        <v>1</v>
      </c>
      <c r="C6" s="2" t="s">
        <v>1</v>
      </c>
      <c r="D6" s="2" t="s">
        <v>8</v>
      </c>
      <c r="E6" s="2" t="s">
        <v>2</v>
      </c>
      <c r="F6" s="7">
        <v>38580</v>
      </c>
      <c r="G6" s="7">
        <v>38410</v>
      </c>
      <c r="H6" s="7">
        <v>21165</v>
      </c>
      <c r="I6" s="7">
        <v>16551</v>
      </c>
      <c r="J6" s="8">
        <v>0</v>
      </c>
      <c r="K6" s="8">
        <v>0</v>
      </c>
      <c r="L6" s="8">
        <v>0</v>
      </c>
      <c r="M6" s="7">
        <v>37716</v>
      </c>
      <c r="N6" s="8">
        <v>694</v>
      </c>
      <c r="O6" s="8">
        <v>170</v>
      </c>
      <c r="P6" s="17" t="str">
        <f>"투표율: "&amp;TEXT(((G4/F4)*100), "0.00")&amp;"%"</f>
        <v>투표율: 49.43%</v>
      </c>
      <c r="Q6" s="12" t="str">
        <f>"기권율: "&amp;TEXT(((O4/F4)*100), "0.00")&amp;"%"</f>
        <v>기권율: 50.57%</v>
      </c>
      <c r="R6" s="17" t="str">
        <f>"유효투표율: "&amp;TEXT(((M4/G4)*100), "0.00")&amp;"%"</f>
        <v>유효투표율: 98.68%</v>
      </c>
      <c r="S6" s="12" t="str">
        <f>"무효투표율: "&amp;TEXT(((N4/G4)*100), "0.00")&amp;"%"</f>
        <v>무효투표율: 1.32%</v>
      </c>
      <c r="T6" s="48"/>
      <c r="U6" s="25" t="str">
        <f>TEXT(H4,"#,##0")&amp;CHAR(10)&amp;"("&amp;TEXT((ROUND((H4/(SUM($H4:$L4))*100),2)),"0.00")&amp;"%)"</f>
        <v>180,005
(52.49%)</v>
      </c>
      <c r="V6" s="25" t="str">
        <f>TEXT(I4,"#,##0")&amp;CHAR(10)&amp;"("&amp;TEXT((ROUND((I4/(SUM($H4:$L4))*100),2)),"0.00")&amp;"%)"</f>
        <v>162,895
(47.51%)</v>
      </c>
      <c r="W6">
        <f>SUBSTITUTE(SUBSTITUTE(LEFT(U6,FIND("(",U6)-1),",",""),CHAR(10),"")+0</f>
        <v>180005</v>
      </c>
      <c r="X6">
        <f>SUBSTITUTE(SUBSTITUTE(LEFT(V6,FIND("(",V6)-1),",",""),CHAR(10),"")+0</f>
        <v>162895</v>
      </c>
    </row>
    <row r="7" spans="1:24" ht="17.25" thickBot="1">
      <c r="A7" s="2" t="s">
        <v>0</v>
      </c>
      <c r="B7" s="2" t="s">
        <v>1</v>
      </c>
      <c r="C7" s="2" t="s">
        <v>1</v>
      </c>
      <c r="D7" s="2" t="s">
        <v>9</v>
      </c>
      <c r="E7" s="2" t="s">
        <v>10</v>
      </c>
      <c r="F7" s="7">
        <v>55544</v>
      </c>
      <c r="G7" s="7">
        <v>21541</v>
      </c>
      <c r="H7" s="7">
        <v>11193</v>
      </c>
      <c r="I7" s="7">
        <v>10045</v>
      </c>
      <c r="J7" s="8">
        <v>0</v>
      </c>
      <c r="K7" s="8">
        <v>0</v>
      </c>
      <c r="L7" s="8">
        <v>0</v>
      </c>
      <c r="M7" s="7">
        <v>21238</v>
      </c>
      <c r="N7" s="8">
        <v>303</v>
      </c>
      <c r="O7" s="7">
        <v>34003</v>
      </c>
      <c r="P7" s="44" t="str">
        <f>D7</f>
        <v>심곡동</v>
      </c>
      <c r="Q7" s="53"/>
      <c r="R7" s="53"/>
      <c r="S7" s="54"/>
      <c r="T7" s="30" t="s">
        <v>138</v>
      </c>
      <c r="U7" s="49" t="s">
        <v>136</v>
      </c>
      <c r="V7" s="50"/>
    </row>
    <row r="8" spans="1:24" ht="17.25" thickBot="1">
      <c r="A8" s="2" t="s">
        <v>0</v>
      </c>
      <c r="B8" s="2" t="s">
        <v>1</v>
      </c>
      <c r="C8" s="2" t="s">
        <v>1</v>
      </c>
      <c r="D8" s="2" t="s">
        <v>9</v>
      </c>
      <c r="E8" s="2" t="s">
        <v>11</v>
      </c>
      <c r="F8" s="7">
        <v>7646</v>
      </c>
      <c r="G8" s="7">
        <v>7620</v>
      </c>
      <c r="H8" s="7">
        <v>4040</v>
      </c>
      <c r="I8" s="7">
        <v>3455</v>
      </c>
      <c r="J8" s="8">
        <v>0</v>
      </c>
      <c r="K8" s="8">
        <v>0</v>
      </c>
      <c r="L8" s="8">
        <v>0</v>
      </c>
      <c r="M8" s="7">
        <v>7495</v>
      </c>
      <c r="N8" s="8">
        <v>125</v>
      </c>
      <c r="O8" s="8">
        <v>26</v>
      </c>
      <c r="P8" s="40" t="str">
        <f>"투표수: "&amp;TEXT((SUM(H7:L7)+N7), "#,##0")</f>
        <v>투표수: 21,541</v>
      </c>
      <c r="Q8" s="42"/>
      <c r="R8" s="18" t="str">
        <f>"유효투표수: "&amp;TEXT(SUM(H7:L7),"#,##0")</f>
        <v>유효투표수: 21,238</v>
      </c>
      <c r="S8" s="16" t="str">
        <f>"무효투표수: "&amp;TEXT(N7, "#,##0")</f>
        <v>무효투표수: 303</v>
      </c>
      <c r="T8" s="47" t="s">
        <v>154</v>
      </c>
      <c r="U8" s="34" t="str">
        <f>$H$3</f>
        <v>더불어민주당
조용익</v>
      </c>
      <c r="V8" s="34" t="str">
        <f>$I$3</f>
        <v>국민의힘
서영석</v>
      </c>
      <c r="W8" s="63"/>
      <c r="X8" s="63"/>
    </row>
    <row r="9" spans="1:24" ht="17.25" thickBot="1">
      <c r="A9" s="2" t="s">
        <v>0</v>
      </c>
      <c r="B9" s="2" t="s">
        <v>1</v>
      </c>
      <c r="C9" s="2" t="s">
        <v>1</v>
      </c>
      <c r="D9" s="2" t="s">
        <v>9</v>
      </c>
      <c r="E9" s="2" t="s">
        <v>12</v>
      </c>
      <c r="F9" s="7">
        <v>47898</v>
      </c>
      <c r="G9" s="7">
        <v>13921</v>
      </c>
      <c r="H9" s="7">
        <v>7153</v>
      </c>
      <c r="I9" s="7">
        <v>6590</v>
      </c>
      <c r="J9" s="8">
        <v>0</v>
      </c>
      <c r="K9" s="8">
        <v>0</v>
      </c>
      <c r="L9" s="8">
        <v>0</v>
      </c>
      <c r="M9" s="7">
        <v>13743</v>
      </c>
      <c r="N9" s="8">
        <v>178</v>
      </c>
      <c r="O9" s="7">
        <v>33977</v>
      </c>
      <c r="P9" s="17" t="str">
        <f>"투표율: "&amp;TEXT(((G7/F7)*100), "0.00")&amp;"%"</f>
        <v>투표율: 38.78%</v>
      </c>
      <c r="Q9" s="12" t="str">
        <f>"기권율: "&amp;TEXT(((O7/F7)*100), "0.00")&amp;"%"</f>
        <v>기권율: 61.22%</v>
      </c>
      <c r="R9" s="17" t="str">
        <f>"유효투표율: "&amp;TEXT(((M7/G7)*100), "0.00")&amp;"%"</f>
        <v>유효투표율: 98.59%</v>
      </c>
      <c r="S9" s="12" t="str">
        <f>"무효투표율: "&amp;TEXT(((N7/G7)*100), "0.00")&amp;"%"</f>
        <v>무효투표율: 1.41%</v>
      </c>
      <c r="T9" s="48"/>
      <c r="U9" s="25" t="str">
        <f>TEXT(H7,"#,##0")&amp;CHAR(10)&amp;"("&amp;TEXT((ROUND((H7/(SUM($H7:$L7))*100),2)),"0.00")&amp;"%)"</f>
        <v>11,193
(52.70%)</v>
      </c>
      <c r="V9" s="25" t="str">
        <f>TEXT(I7,"#,##0")&amp;CHAR(10)&amp;"("&amp;TEXT((ROUND((I7/(SUM($H7:$L7))*100),2)),"0.00")&amp;"%)"</f>
        <v>10,045
(47.30%)</v>
      </c>
      <c r="W9">
        <f>SUBSTITUTE(SUBSTITUTE(LEFT(U9,FIND("(",U9)-1),",",""),CHAR(10),"")+0</f>
        <v>11193</v>
      </c>
      <c r="X9">
        <f>SUBSTITUTE(SUBSTITUTE(LEFT(V9,FIND("(",V9)-1),",",""),CHAR(10),"")+0</f>
        <v>10045</v>
      </c>
    </row>
    <row r="10" spans="1:24" ht="17.25" thickBot="1">
      <c r="A10" s="2" t="s">
        <v>0</v>
      </c>
      <c r="B10" s="2" t="s">
        <v>1</v>
      </c>
      <c r="C10" s="2" t="s">
        <v>1</v>
      </c>
      <c r="D10" s="2" t="s">
        <v>13</v>
      </c>
      <c r="E10" s="2" t="s">
        <v>10</v>
      </c>
      <c r="F10" s="7">
        <v>75081</v>
      </c>
      <c r="G10" s="7">
        <v>33692</v>
      </c>
      <c r="H10" s="7">
        <v>17931</v>
      </c>
      <c r="I10" s="7">
        <v>15270</v>
      </c>
      <c r="J10" s="8">
        <v>0</v>
      </c>
      <c r="K10" s="8">
        <v>0</v>
      </c>
      <c r="L10" s="8">
        <v>0</v>
      </c>
      <c r="M10" s="7">
        <v>33201</v>
      </c>
      <c r="N10" s="8">
        <v>491</v>
      </c>
      <c r="O10" s="7">
        <v>41389</v>
      </c>
      <c r="P10" s="44" t="str">
        <f>D10</f>
        <v>부천동</v>
      </c>
      <c r="Q10" s="53"/>
      <c r="R10" s="53"/>
      <c r="S10" s="54"/>
      <c r="T10" s="30" t="s">
        <v>138</v>
      </c>
      <c r="U10" s="49" t="s">
        <v>136</v>
      </c>
      <c r="V10" s="50"/>
    </row>
    <row r="11" spans="1:24" ht="17.25" thickBot="1">
      <c r="A11" s="2" t="s">
        <v>0</v>
      </c>
      <c r="B11" s="2" t="s">
        <v>1</v>
      </c>
      <c r="C11" s="2" t="s">
        <v>1</v>
      </c>
      <c r="D11" s="2" t="s">
        <v>13</v>
      </c>
      <c r="E11" s="2" t="s">
        <v>11</v>
      </c>
      <c r="F11" s="7">
        <v>11409</v>
      </c>
      <c r="G11" s="7">
        <v>11356</v>
      </c>
      <c r="H11" s="7">
        <v>6259</v>
      </c>
      <c r="I11" s="7">
        <v>4875</v>
      </c>
      <c r="J11" s="8">
        <v>0</v>
      </c>
      <c r="K11" s="8">
        <v>0</v>
      </c>
      <c r="L11" s="8">
        <v>0</v>
      </c>
      <c r="M11" s="7">
        <v>11134</v>
      </c>
      <c r="N11" s="8">
        <v>222</v>
      </c>
      <c r="O11" s="8">
        <v>53</v>
      </c>
      <c r="P11" s="40" t="str">
        <f>"투표수: "&amp;TEXT((SUM(H10:L10)+N10), "#,##0")</f>
        <v>투표수: 33,692</v>
      </c>
      <c r="Q11" s="42"/>
      <c r="R11" s="18" t="str">
        <f>"유효투표수: "&amp;TEXT(SUM(H10:L10),"#,##0")</f>
        <v>유효투표수: 33,201</v>
      </c>
      <c r="S11" s="16" t="str">
        <f>"무효투표수: "&amp;TEXT(N10, "#,##0")</f>
        <v>무효투표수: 491</v>
      </c>
      <c r="T11" s="47" t="s">
        <v>154</v>
      </c>
      <c r="U11" s="34" t="str">
        <f>$H$3</f>
        <v>더불어민주당
조용익</v>
      </c>
      <c r="V11" s="34" t="str">
        <f>$I$3</f>
        <v>국민의힘
서영석</v>
      </c>
      <c r="W11" s="63"/>
      <c r="X11" s="63"/>
    </row>
    <row r="12" spans="1:24" ht="17.25" thickBot="1">
      <c r="A12" s="2" t="s">
        <v>0</v>
      </c>
      <c r="B12" s="2" t="s">
        <v>1</v>
      </c>
      <c r="C12" s="2" t="s">
        <v>1</v>
      </c>
      <c r="D12" s="2" t="s">
        <v>13</v>
      </c>
      <c r="E12" s="2" t="s">
        <v>12</v>
      </c>
      <c r="F12" s="7">
        <v>63672</v>
      </c>
      <c r="G12" s="7">
        <v>22336</v>
      </c>
      <c r="H12" s="7">
        <v>11672</v>
      </c>
      <c r="I12" s="7">
        <v>10395</v>
      </c>
      <c r="J12" s="8">
        <v>0</v>
      </c>
      <c r="K12" s="8">
        <v>0</v>
      </c>
      <c r="L12" s="8">
        <v>0</v>
      </c>
      <c r="M12" s="7">
        <v>22067</v>
      </c>
      <c r="N12" s="8">
        <v>269</v>
      </c>
      <c r="O12" s="7">
        <v>41336</v>
      </c>
      <c r="P12" s="17" t="str">
        <f>"투표율: "&amp;TEXT(((G10/F10)*100), "0.00")&amp;"%"</f>
        <v>투표율: 44.87%</v>
      </c>
      <c r="Q12" s="12" t="str">
        <f>"기권율: "&amp;TEXT(((O10/F10)*100), "0.00")&amp;"%"</f>
        <v>기권율: 55.13%</v>
      </c>
      <c r="R12" s="17" t="str">
        <f>"유효투표율: "&amp;TEXT(((M10/G10)*100), "0.00")&amp;"%"</f>
        <v>유효투표율: 98.54%</v>
      </c>
      <c r="S12" s="12" t="str">
        <f>"무효투표율: "&amp;TEXT(((N10/G10)*100), "0.00")&amp;"%"</f>
        <v>무효투표율: 1.46%</v>
      </c>
      <c r="T12" s="48"/>
      <c r="U12" s="25" t="str">
        <f>TEXT(H10,"#,##0")&amp;CHAR(10)&amp;"("&amp;TEXT((ROUND((H10/(SUM($H10:$L10))*100),2)),"0.00")&amp;"%)"</f>
        <v>17,931
(54.01%)</v>
      </c>
      <c r="V12" s="25" t="str">
        <f>TEXT(I10,"#,##0")&amp;CHAR(10)&amp;"("&amp;TEXT((ROUND((I10/(SUM($H10:$L10))*100),2)),"0.00")&amp;"%)"</f>
        <v>15,270
(45.99%)</v>
      </c>
      <c r="W12">
        <f>SUBSTITUTE(SUBSTITUTE(LEFT(U12,FIND("(",U12)-1),",",""),CHAR(10),"")+0</f>
        <v>17931</v>
      </c>
      <c r="X12">
        <f>SUBSTITUTE(SUBSTITUTE(LEFT(V12,FIND("(",V12)-1),",",""),CHAR(10),"")+0</f>
        <v>15270</v>
      </c>
    </row>
    <row r="13" spans="1:24" ht="17.25" thickBot="1">
      <c r="A13" s="2" t="s">
        <v>0</v>
      </c>
      <c r="B13" s="2" t="s">
        <v>1</v>
      </c>
      <c r="C13" s="2" t="s">
        <v>1</v>
      </c>
      <c r="D13" s="2" t="s">
        <v>14</v>
      </c>
      <c r="E13" s="2" t="s">
        <v>10</v>
      </c>
      <c r="F13" s="7">
        <v>33255</v>
      </c>
      <c r="G13" s="7">
        <v>15975</v>
      </c>
      <c r="H13" s="7">
        <v>7740</v>
      </c>
      <c r="I13" s="7">
        <v>8076</v>
      </c>
      <c r="J13" s="8">
        <v>0</v>
      </c>
      <c r="K13" s="8">
        <v>0</v>
      </c>
      <c r="L13" s="8">
        <v>0</v>
      </c>
      <c r="M13" s="7">
        <v>15816</v>
      </c>
      <c r="N13" s="8">
        <v>159</v>
      </c>
      <c r="O13" s="7">
        <v>17280</v>
      </c>
      <c r="P13" s="44" t="str">
        <f>D13</f>
        <v>중동</v>
      </c>
      <c r="Q13" s="53"/>
      <c r="R13" s="53"/>
      <c r="S13" s="54"/>
      <c r="T13" s="30" t="s">
        <v>138</v>
      </c>
      <c r="U13" s="49" t="s">
        <v>136</v>
      </c>
      <c r="V13" s="50"/>
    </row>
    <row r="14" spans="1:24" ht="17.25" thickBot="1">
      <c r="A14" s="2" t="s">
        <v>0</v>
      </c>
      <c r="B14" s="2" t="s">
        <v>1</v>
      </c>
      <c r="C14" s="2" t="s">
        <v>1</v>
      </c>
      <c r="D14" s="2" t="s">
        <v>14</v>
      </c>
      <c r="E14" s="2" t="s">
        <v>11</v>
      </c>
      <c r="F14" s="7">
        <v>5125</v>
      </c>
      <c r="G14" s="7">
        <v>5097</v>
      </c>
      <c r="H14" s="7">
        <v>2511</v>
      </c>
      <c r="I14" s="7">
        <v>2536</v>
      </c>
      <c r="J14" s="8">
        <v>0</v>
      </c>
      <c r="K14" s="8">
        <v>0</v>
      </c>
      <c r="L14" s="8">
        <v>0</v>
      </c>
      <c r="M14" s="7">
        <v>5047</v>
      </c>
      <c r="N14" s="8">
        <v>50</v>
      </c>
      <c r="O14" s="8">
        <v>28</v>
      </c>
      <c r="P14" s="40" t="str">
        <f>"투표수: "&amp;TEXT((SUM(H13:L13)+N13), "#,##0")</f>
        <v>투표수: 15,975</v>
      </c>
      <c r="Q14" s="42"/>
      <c r="R14" s="18" t="str">
        <f>"유효투표수: "&amp;TEXT(SUM(H13:L13),"#,##0")</f>
        <v>유효투표수: 15,816</v>
      </c>
      <c r="S14" s="16" t="str">
        <f>"무효투표수: "&amp;TEXT(N13, "#,##0")</f>
        <v>무효투표수: 159</v>
      </c>
      <c r="T14" s="47" t="s">
        <v>139</v>
      </c>
      <c r="U14" s="34" t="str">
        <f>$H$3</f>
        <v>더불어민주당
조용익</v>
      </c>
      <c r="V14" s="34" t="str">
        <f>$I$3</f>
        <v>국민의힘
서영석</v>
      </c>
      <c r="W14" s="63"/>
      <c r="X14" s="63"/>
    </row>
    <row r="15" spans="1:24" ht="17.25" thickBot="1">
      <c r="A15" s="2" t="s">
        <v>0</v>
      </c>
      <c r="B15" s="2" t="s">
        <v>1</v>
      </c>
      <c r="C15" s="2" t="s">
        <v>1</v>
      </c>
      <c r="D15" s="2" t="s">
        <v>14</v>
      </c>
      <c r="E15" s="2" t="s">
        <v>12</v>
      </c>
      <c r="F15" s="7">
        <v>28130</v>
      </c>
      <c r="G15" s="7">
        <v>10878</v>
      </c>
      <c r="H15" s="7">
        <v>5229</v>
      </c>
      <c r="I15" s="7">
        <v>5540</v>
      </c>
      <c r="J15" s="8">
        <v>0</v>
      </c>
      <c r="K15" s="8">
        <v>0</v>
      </c>
      <c r="L15" s="8">
        <v>0</v>
      </c>
      <c r="M15" s="7">
        <v>10769</v>
      </c>
      <c r="N15" s="8">
        <v>109</v>
      </c>
      <c r="O15" s="7">
        <v>17252</v>
      </c>
      <c r="P15" s="17" t="str">
        <f>"투표율: "&amp;TEXT(((G13/F13)*100), "0.00")&amp;"%"</f>
        <v>투표율: 48.04%</v>
      </c>
      <c r="Q15" s="12" t="str">
        <f>"기권율: "&amp;TEXT(((O13/F13)*100), "0.00")&amp;"%"</f>
        <v>기권율: 51.96%</v>
      </c>
      <c r="R15" s="17" t="str">
        <f>"유효투표율: "&amp;TEXT(((M13/G13)*100), "0.00")&amp;"%"</f>
        <v>유효투표율: 99.00%</v>
      </c>
      <c r="S15" s="12" t="str">
        <f>"무효투표율: "&amp;TEXT(((N13/G13)*100), "0.00")&amp;"%"</f>
        <v>무효투표율: 1.00%</v>
      </c>
      <c r="T15" s="48"/>
      <c r="U15" s="25" t="str">
        <f>TEXT(H13,"#,##0")&amp;CHAR(10)&amp;"("&amp;TEXT((ROUND((H13/(SUM($H13:$L13))*100),2)),"0.00")&amp;"%)"</f>
        <v>7,740
(48.94%)</v>
      </c>
      <c r="V15" s="25" t="str">
        <f>TEXT(I13,"#,##0")&amp;CHAR(10)&amp;"("&amp;TEXT((ROUND((I13/(SUM($H13:$L13))*100),2)),"0.00")&amp;"%)"</f>
        <v>8,076
(51.06%)</v>
      </c>
      <c r="W15">
        <f>SUBSTITUTE(SUBSTITUTE(LEFT(U15,FIND("(",U15)-1),",",""),CHAR(10),"")+0</f>
        <v>7740</v>
      </c>
      <c r="X15">
        <f>SUBSTITUTE(SUBSTITUTE(LEFT(V15,FIND("(",V15)-1),",",""),CHAR(10),"")+0</f>
        <v>8076</v>
      </c>
    </row>
    <row r="16" spans="1:24" ht="17.25" thickBot="1">
      <c r="A16" s="2" t="s">
        <v>0</v>
      </c>
      <c r="B16" s="2" t="s">
        <v>1</v>
      </c>
      <c r="C16" s="2" t="s">
        <v>1</v>
      </c>
      <c r="D16" s="2" t="s">
        <v>15</v>
      </c>
      <c r="E16" s="2" t="s">
        <v>10</v>
      </c>
      <c r="F16" s="7">
        <v>104891</v>
      </c>
      <c r="G16" s="7">
        <v>51633</v>
      </c>
      <c r="H16" s="7">
        <v>25511</v>
      </c>
      <c r="I16" s="7">
        <v>25519</v>
      </c>
      <c r="J16" s="8">
        <v>0</v>
      </c>
      <c r="K16" s="8">
        <v>0</v>
      </c>
      <c r="L16" s="8">
        <v>0</v>
      </c>
      <c r="M16" s="7">
        <v>51030</v>
      </c>
      <c r="N16" s="8">
        <v>603</v>
      </c>
      <c r="O16" s="7">
        <v>53258</v>
      </c>
      <c r="P16" s="44" t="str">
        <f>D16</f>
        <v>신중동</v>
      </c>
      <c r="Q16" s="53"/>
      <c r="R16" s="53"/>
      <c r="S16" s="54"/>
      <c r="T16" s="30" t="s">
        <v>138</v>
      </c>
      <c r="U16" s="49" t="s">
        <v>136</v>
      </c>
      <c r="V16" s="50"/>
    </row>
    <row r="17" spans="1:24" ht="17.25" thickBot="1">
      <c r="A17" s="2" t="s">
        <v>0</v>
      </c>
      <c r="B17" s="2" t="s">
        <v>1</v>
      </c>
      <c r="C17" s="2" t="s">
        <v>1</v>
      </c>
      <c r="D17" s="2" t="s">
        <v>15</v>
      </c>
      <c r="E17" s="2" t="s">
        <v>11</v>
      </c>
      <c r="F17" s="7">
        <v>14948</v>
      </c>
      <c r="G17" s="7">
        <v>14888</v>
      </c>
      <c r="H17" s="7">
        <v>7805</v>
      </c>
      <c r="I17" s="7">
        <v>6824</v>
      </c>
      <c r="J17" s="8">
        <v>0</v>
      </c>
      <c r="K17" s="8">
        <v>0</v>
      </c>
      <c r="L17" s="8">
        <v>0</v>
      </c>
      <c r="M17" s="7">
        <v>14629</v>
      </c>
      <c r="N17" s="8">
        <v>259</v>
      </c>
      <c r="O17" s="8">
        <v>60</v>
      </c>
      <c r="P17" s="40" t="str">
        <f>"투표수: "&amp;TEXT((SUM(H16:L16)+N16), "#,##0")</f>
        <v>투표수: 51,633</v>
      </c>
      <c r="Q17" s="42"/>
      <c r="R17" s="18" t="str">
        <f>"유효투표수: "&amp;TEXT(SUM(H16:L16),"#,##0")</f>
        <v>유효투표수: 51,030</v>
      </c>
      <c r="S17" s="16" t="str">
        <f>"무효투표수: "&amp;TEXT(N16, "#,##0")</f>
        <v>무효투표수: 603</v>
      </c>
      <c r="T17" s="47" t="s">
        <v>139</v>
      </c>
      <c r="U17" s="34" t="str">
        <f>$H$3</f>
        <v>더불어민주당
조용익</v>
      </c>
      <c r="V17" s="34" t="str">
        <f>$I$3</f>
        <v>국민의힘
서영석</v>
      </c>
      <c r="W17" s="63"/>
      <c r="X17" s="63"/>
    </row>
    <row r="18" spans="1:24" ht="17.25" thickBot="1">
      <c r="A18" s="2" t="s">
        <v>0</v>
      </c>
      <c r="B18" s="2" t="s">
        <v>1</v>
      </c>
      <c r="C18" s="2" t="s">
        <v>1</v>
      </c>
      <c r="D18" s="2" t="s">
        <v>15</v>
      </c>
      <c r="E18" s="2" t="s">
        <v>12</v>
      </c>
      <c r="F18" s="7">
        <v>89943</v>
      </c>
      <c r="G18" s="7">
        <v>36745</v>
      </c>
      <c r="H18" s="7">
        <v>17706</v>
      </c>
      <c r="I18" s="7">
        <v>18695</v>
      </c>
      <c r="J18" s="8">
        <v>0</v>
      </c>
      <c r="K18" s="8">
        <v>0</v>
      </c>
      <c r="L18" s="8">
        <v>0</v>
      </c>
      <c r="M18" s="7">
        <v>36401</v>
      </c>
      <c r="N18" s="8">
        <v>344</v>
      </c>
      <c r="O18" s="7">
        <v>53198</v>
      </c>
      <c r="P18" s="17" t="str">
        <f>"투표율: "&amp;TEXT(((G16/F16)*100), "0.00")&amp;"%"</f>
        <v>투표율: 49.23%</v>
      </c>
      <c r="Q18" s="12" t="str">
        <f>"기권율: "&amp;TEXT(((O16/F16)*100), "0.00")&amp;"%"</f>
        <v>기권율: 50.77%</v>
      </c>
      <c r="R18" s="17" t="str">
        <f>"유효투표율: "&amp;TEXT(((M16/G16)*100), "0.00")&amp;"%"</f>
        <v>유효투표율: 98.83%</v>
      </c>
      <c r="S18" s="12" t="str">
        <f>"무효투표율: "&amp;TEXT(((N16/G16)*100), "0.00")&amp;"%"</f>
        <v>무효투표율: 1.17%</v>
      </c>
      <c r="T18" s="48"/>
      <c r="U18" s="25" t="str">
        <f>TEXT(H16,"#,##0")&amp;CHAR(10)&amp;"("&amp;TEXT((ROUND((H16/(SUM($H16:$L16))*100),2)),"0.00")&amp;"%)"</f>
        <v>25,511
(49.99%)</v>
      </c>
      <c r="V18" s="25" t="str">
        <f>TEXT(I16,"#,##0")&amp;CHAR(10)&amp;"("&amp;TEXT((ROUND((I16/(SUM($H16:$L16))*100),2)),"0.00")&amp;"%)"</f>
        <v>25,519
(50.01%)</v>
      </c>
      <c r="W18">
        <f>SUBSTITUTE(SUBSTITUTE(LEFT(U18,FIND("(",U18)-1),",",""),CHAR(10),"")+0</f>
        <v>25511</v>
      </c>
      <c r="X18">
        <f>SUBSTITUTE(SUBSTITUTE(LEFT(V18,FIND("(",V18)-1),",",""),CHAR(10),"")+0</f>
        <v>25519</v>
      </c>
    </row>
    <row r="19" spans="1:24" ht="17.25" thickBot="1">
      <c r="A19" s="2" t="s">
        <v>0</v>
      </c>
      <c r="B19" s="2" t="s">
        <v>1</v>
      </c>
      <c r="C19" s="2" t="s">
        <v>1</v>
      </c>
      <c r="D19" s="2" t="s">
        <v>16</v>
      </c>
      <c r="E19" s="2" t="s">
        <v>10</v>
      </c>
      <c r="F19" s="7">
        <v>65723</v>
      </c>
      <c r="G19" s="7">
        <v>35033</v>
      </c>
      <c r="H19" s="7">
        <v>18561</v>
      </c>
      <c r="I19" s="7">
        <v>16251</v>
      </c>
      <c r="J19" s="8">
        <v>0</v>
      </c>
      <c r="K19" s="8">
        <v>0</v>
      </c>
      <c r="L19" s="8">
        <v>0</v>
      </c>
      <c r="M19" s="7">
        <v>34812</v>
      </c>
      <c r="N19" s="8">
        <v>221</v>
      </c>
      <c r="O19" s="7">
        <v>30690</v>
      </c>
      <c r="P19" s="44" t="str">
        <f>D19</f>
        <v>상동</v>
      </c>
      <c r="Q19" s="53"/>
      <c r="R19" s="53"/>
      <c r="S19" s="54"/>
      <c r="T19" s="30" t="s">
        <v>138</v>
      </c>
      <c r="U19" s="49" t="s">
        <v>136</v>
      </c>
      <c r="V19" s="50"/>
    </row>
    <row r="20" spans="1:24" ht="17.25" thickBot="1">
      <c r="A20" s="2" t="s">
        <v>0</v>
      </c>
      <c r="B20" s="2" t="s">
        <v>1</v>
      </c>
      <c r="C20" s="2" t="s">
        <v>1</v>
      </c>
      <c r="D20" s="2" t="s">
        <v>16</v>
      </c>
      <c r="E20" s="2" t="s">
        <v>11</v>
      </c>
      <c r="F20" s="7">
        <v>12380</v>
      </c>
      <c r="G20" s="7">
        <v>12312</v>
      </c>
      <c r="H20" s="7">
        <v>6799</v>
      </c>
      <c r="I20" s="7">
        <v>5432</v>
      </c>
      <c r="J20" s="8">
        <v>0</v>
      </c>
      <c r="K20" s="8">
        <v>0</v>
      </c>
      <c r="L20" s="8">
        <v>0</v>
      </c>
      <c r="M20" s="7">
        <v>12231</v>
      </c>
      <c r="N20" s="8">
        <v>81</v>
      </c>
      <c r="O20" s="8">
        <v>68</v>
      </c>
      <c r="P20" s="40" t="str">
        <f>"투표수: "&amp;TEXT((SUM(H19:L19)+N19), "#,##0")</f>
        <v>투표수: 35,033</v>
      </c>
      <c r="Q20" s="42"/>
      <c r="R20" s="18" t="str">
        <f>"유효투표수: "&amp;TEXT(SUM(H19:L19),"#,##0")</f>
        <v>유효투표수: 34,812</v>
      </c>
      <c r="S20" s="16" t="str">
        <f>"무효투표수: "&amp;TEXT(N19, "#,##0")</f>
        <v>무효투표수: 221</v>
      </c>
      <c r="T20" s="47" t="s">
        <v>139</v>
      </c>
      <c r="U20" s="34" t="str">
        <f>$H$3</f>
        <v>더불어민주당
조용익</v>
      </c>
      <c r="V20" s="34" t="str">
        <f>$I$3</f>
        <v>국민의힘
서영석</v>
      </c>
      <c r="W20" s="63"/>
      <c r="X20" s="63"/>
    </row>
    <row r="21" spans="1:24" ht="17.25" thickBot="1">
      <c r="A21" s="2" t="s">
        <v>0</v>
      </c>
      <c r="B21" s="2" t="s">
        <v>1</v>
      </c>
      <c r="C21" s="2" t="s">
        <v>1</v>
      </c>
      <c r="D21" s="2" t="s">
        <v>16</v>
      </c>
      <c r="E21" s="2" t="s">
        <v>12</v>
      </c>
      <c r="F21" s="7">
        <v>53343</v>
      </c>
      <c r="G21" s="7">
        <v>22721</v>
      </c>
      <c r="H21" s="7">
        <v>11762</v>
      </c>
      <c r="I21" s="7">
        <v>10819</v>
      </c>
      <c r="J21" s="8">
        <v>0</v>
      </c>
      <c r="K21" s="8">
        <v>0</v>
      </c>
      <c r="L21" s="8">
        <v>0</v>
      </c>
      <c r="M21" s="7">
        <v>22581</v>
      </c>
      <c r="N21" s="8">
        <v>140</v>
      </c>
      <c r="O21" s="7">
        <v>30622</v>
      </c>
      <c r="P21" s="17" t="str">
        <f>"투표율: "&amp;TEXT(((G19/F19)*100), "0.00")&amp;"%"</f>
        <v>투표율: 53.30%</v>
      </c>
      <c r="Q21" s="12" t="str">
        <f>"기권율: "&amp;TEXT(((O19/F19)*100), "0.00")&amp;"%"</f>
        <v>기권율: 46.70%</v>
      </c>
      <c r="R21" s="17" t="str">
        <f>"유효투표율: "&amp;TEXT(((M19/G19)*100), "0.00")&amp;"%"</f>
        <v>유효투표율: 99.37%</v>
      </c>
      <c r="S21" s="12" t="str">
        <f>"무효투표율: "&amp;TEXT(((N19/G19)*100), "0.00")&amp;"%"</f>
        <v>무효투표율: 0.63%</v>
      </c>
      <c r="T21" s="48"/>
      <c r="U21" s="25" t="str">
        <f>TEXT(H19,"#,##0")&amp;CHAR(10)&amp;"("&amp;TEXT((ROUND((H19/(SUM($H19:$L19))*100),2)),"0.00")&amp;"%)"</f>
        <v>18,561
(53.32%)</v>
      </c>
      <c r="V21" s="25" t="str">
        <f>TEXT(I19,"#,##0")&amp;CHAR(10)&amp;"("&amp;TEXT((ROUND((I19/(SUM($H19:$L19))*100),2)),"0.00")&amp;"%)"</f>
        <v>16,251
(46.68%)</v>
      </c>
      <c r="W21">
        <f>SUBSTITUTE(SUBSTITUTE(LEFT(U21,FIND("(",U21)-1),",",""),CHAR(10),"")+0</f>
        <v>18561</v>
      </c>
      <c r="X21">
        <f>SUBSTITUTE(SUBSTITUTE(LEFT(V21,FIND("(",V21)-1),",",""),CHAR(10),"")+0</f>
        <v>16251</v>
      </c>
    </row>
    <row r="22" spans="1:24" ht="17.25" thickBot="1">
      <c r="A22" s="2" t="s">
        <v>0</v>
      </c>
      <c r="B22" s="2" t="s">
        <v>1</v>
      </c>
      <c r="C22" s="2" t="s">
        <v>1</v>
      </c>
      <c r="D22" s="2" t="s">
        <v>17</v>
      </c>
      <c r="E22" s="2" t="s">
        <v>10</v>
      </c>
      <c r="F22" s="7">
        <v>69217</v>
      </c>
      <c r="G22" s="7">
        <v>31965</v>
      </c>
      <c r="H22" s="7">
        <v>16099</v>
      </c>
      <c r="I22" s="7">
        <v>15410</v>
      </c>
      <c r="J22" s="8">
        <v>0</v>
      </c>
      <c r="K22" s="8">
        <v>0</v>
      </c>
      <c r="L22" s="8">
        <v>0</v>
      </c>
      <c r="M22" s="7">
        <v>31509</v>
      </c>
      <c r="N22" s="8">
        <v>456</v>
      </c>
      <c r="O22" s="7">
        <v>37252</v>
      </c>
      <c r="P22" s="44" t="str">
        <f>D22</f>
        <v>대산동</v>
      </c>
      <c r="Q22" s="53"/>
      <c r="R22" s="53"/>
      <c r="S22" s="54"/>
      <c r="T22" s="30" t="s">
        <v>138</v>
      </c>
      <c r="U22" s="49" t="s">
        <v>136</v>
      </c>
      <c r="V22" s="50"/>
    </row>
    <row r="23" spans="1:24" ht="17.25" thickBot="1">
      <c r="A23" s="2" t="s">
        <v>0</v>
      </c>
      <c r="B23" s="2" t="s">
        <v>1</v>
      </c>
      <c r="C23" s="2" t="s">
        <v>1</v>
      </c>
      <c r="D23" s="2" t="s">
        <v>17</v>
      </c>
      <c r="E23" s="2" t="s">
        <v>11</v>
      </c>
      <c r="F23" s="7">
        <v>10727</v>
      </c>
      <c r="G23" s="7">
        <v>10701</v>
      </c>
      <c r="H23" s="7">
        <v>5500</v>
      </c>
      <c r="I23" s="7">
        <v>4984</v>
      </c>
      <c r="J23" s="8">
        <v>0</v>
      </c>
      <c r="K23" s="8">
        <v>0</v>
      </c>
      <c r="L23" s="8">
        <v>0</v>
      </c>
      <c r="M23" s="7">
        <v>10484</v>
      </c>
      <c r="N23" s="8">
        <v>217</v>
      </c>
      <c r="O23" s="8">
        <v>26</v>
      </c>
      <c r="P23" s="40" t="str">
        <f>"투표수: "&amp;TEXT((SUM(H22:L22)+N22), "#,##0")</f>
        <v>투표수: 31,965</v>
      </c>
      <c r="Q23" s="42"/>
      <c r="R23" s="18" t="str">
        <f>"유효투표수: "&amp;TEXT(SUM(H22:L22),"#,##0")</f>
        <v>유효투표수: 31,509</v>
      </c>
      <c r="S23" s="16" t="str">
        <f>"무효투표수: "&amp;TEXT(N22, "#,##0")</f>
        <v>무효투표수: 456</v>
      </c>
      <c r="T23" s="47" t="s">
        <v>140</v>
      </c>
      <c r="U23" s="34" t="str">
        <f>$H$3</f>
        <v>더불어민주당
조용익</v>
      </c>
      <c r="V23" s="34" t="str">
        <f>$I$3</f>
        <v>국민의힘
서영석</v>
      </c>
      <c r="W23" s="63"/>
      <c r="X23" s="63"/>
    </row>
    <row r="24" spans="1:24" ht="17.25" thickBot="1">
      <c r="A24" s="2" t="s">
        <v>0</v>
      </c>
      <c r="B24" s="2" t="s">
        <v>1</v>
      </c>
      <c r="C24" s="2" t="s">
        <v>1</v>
      </c>
      <c r="D24" s="2" t="s">
        <v>17</v>
      </c>
      <c r="E24" s="2" t="s">
        <v>12</v>
      </c>
      <c r="F24" s="7">
        <v>58490</v>
      </c>
      <c r="G24" s="7">
        <v>21264</v>
      </c>
      <c r="H24" s="7">
        <v>10599</v>
      </c>
      <c r="I24" s="7">
        <v>10426</v>
      </c>
      <c r="J24" s="8">
        <v>0</v>
      </c>
      <c r="K24" s="8">
        <v>0</v>
      </c>
      <c r="L24" s="8">
        <v>0</v>
      </c>
      <c r="M24" s="7">
        <v>21025</v>
      </c>
      <c r="N24" s="8">
        <v>239</v>
      </c>
      <c r="O24" s="7">
        <v>37226</v>
      </c>
      <c r="P24" s="17" t="str">
        <f>"투표율: "&amp;TEXT(((G22/F22)*100), "0.00")&amp;"%"</f>
        <v>투표율: 46.18%</v>
      </c>
      <c r="Q24" s="12" t="str">
        <f>"기권율: "&amp;TEXT(((O22/F22)*100), "0.00")&amp;"%"</f>
        <v>기권율: 53.82%</v>
      </c>
      <c r="R24" s="17" t="str">
        <f>"유효투표율: "&amp;TEXT(((M22/G22)*100), "0.00")&amp;"%"</f>
        <v>유효투표율: 98.57%</v>
      </c>
      <c r="S24" s="12" t="str">
        <f>"무효투표율: "&amp;TEXT(((N22/G22)*100), "0.00")&amp;"%"</f>
        <v>무효투표율: 1.43%</v>
      </c>
      <c r="T24" s="48"/>
      <c r="U24" s="25" t="str">
        <f>TEXT(H22,"#,##0")&amp;CHAR(10)&amp;"("&amp;TEXT((ROUND((H22/(SUM($H22:$L22))*100),2)),"0.00")&amp;"%)"</f>
        <v>16,099
(51.09%)</v>
      </c>
      <c r="V24" s="25" t="str">
        <f>TEXT(I22,"#,##0")&amp;CHAR(10)&amp;"("&amp;TEXT((ROUND((I22/(SUM($H22:$L22))*100),2)),"0.00")&amp;"%)"</f>
        <v>15,410
(48.91%)</v>
      </c>
      <c r="W24">
        <f>SUBSTITUTE(SUBSTITUTE(LEFT(U24,FIND("(",U24)-1),",",""),CHAR(10),"")+0</f>
        <v>16099</v>
      </c>
      <c r="X24">
        <f>SUBSTITUTE(SUBSTITUTE(LEFT(V24,FIND("(",V24)-1),",",""),CHAR(10),"")+0</f>
        <v>15410</v>
      </c>
    </row>
    <row r="25" spans="1:24" ht="17.25" thickBot="1">
      <c r="A25" s="2" t="s">
        <v>0</v>
      </c>
      <c r="B25" s="2" t="s">
        <v>1</v>
      </c>
      <c r="C25" s="2" t="s">
        <v>1</v>
      </c>
      <c r="D25" s="2" t="s">
        <v>18</v>
      </c>
      <c r="E25" s="2" t="s">
        <v>10</v>
      </c>
      <c r="F25" s="7">
        <v>47320</v>
      </c>
      <c r="G25" s="7">
        <v>22429</v>
      </c>
      <c r="H25" s="7">
        <v>11184</v>
      </c>
      <c r="I25" s="7">
        <v>10939</v>
      </c>
      <c r="J25" s="8">
        <v>0</v>
      </c>
      <c r="K25" s="8">
        <v>0</v>
      </c>
      <c r="L25" s="8">
        <v>0</v>
      </c>
      <c r="M25" s="7">
        <v>22123</v>
      </c>
      <c r="N25" s="8">
        <v>306</v>
      </c>
      <c r="O25" s="7">
        <v>24891</v>
      </c>
      <c r="P25" s="44" t="str">
        <f>D25</f>
        <v>소사본동</v>
      </c>
      <c r="Q25" s="53"/>
      <c r="R25" s="53"/>
      <c r="S25" s="54"/>
      <c r="T25" s="30" t="s">
        <v>138</v>
      </c>
      <c r="U25" s="49" t="s">
        <v>136</v>
      </c>
      <c r="V25" s="50"/>
    </row>
    <row r="26" spans="1:24" ht="17.25" thickBot="1">
      <c r="A26" s="2" t="s">
        <v>0</v>
      </c>
      <c r="B26" s="2" t="s">
        <v>1</v>
      </c>
      <c r="C26" s="2" t="s">
        <v>1</v>
      </c>
      <c r="D26" s="2" t="s">
        <v>18</v>
      </c>
      <c r="E26" s="2" t="s">
        <v>11</v>
      </c>
      <c r="F26" s="7">
        <v>7201</v>
      </c>
      <c r="G26" s="7">
        <v>7187</v>
      </c>
      <c r="H26" s="7">
        <v>3644</v>
      </c>
      <c r="I26" s="7">
        <v>3424</v>
      </c>
      <c r="J26" s="8">
        <v>0</v>
      </c>
      <c r="K26" s="8">
        <v>0</v>
      </c>
      <c r="L26" s="8">
        <v>0</v>
      </c>
      <c r="M26" s="7">
        <v>7068</v>
      </c>
      <c r="N26" s="8">
        <v>119</v>
      </c>
      <c r="O26" s="8">
        <v>14</v>
      </c>
      <c r="P26" s="40" t="str">
        <f>"투표수: "&amp;TEXT((SUM(H25:L25)+N25), "#,##0")</f>
        <v>투표수: 22,429</v>
      </c>
      <c r="Q26" s="42"/>
      <c r="R26" s="18" t="str">
        <f>"유효투표수: "&amp;TEXT(SUM(H25:L25),"#,##0")</f>
        <v>유효투표수: 22,123</v>
      </c>
      <c r="S26" s="16" t="str">
        <f>"무효투표수: "&amp;TEXT(N25, "#,##0")</f>
        <v>무효투표수: 306</v>
      </c>
      <c r="T26" s="47" t="s">
        <v>140</v>
      </c>
      <c r="U26" s="34" t="str">
        <f>$H$3</f>
        <v>더불어민주당
조용익</v>
      </c>
      <c r="V26" s="34" t="str">
        <f>$I$3</f>
        <v>국민의힘
서영석</v>
      </c>
      <c r="W26" s="63"/>
      <c r="X26" s="63"/>
    </row>
    <row r="27" spans="1:24" ht="17.25" thickBot="1">
      <c r="A27" s="2" t="s">
        <v>0</v>
      </c>
      <c r="B27" s="2" t="s">
        <v>1</v>
      </c>
      <c r="C27" s="2" t="s">
        <v>1</v>
      </c>
      <c r="D27" s="2" t="s">
        <v>18</v>
      </c>
      <c r="E27" s="2" t="s">
        <v>12</v>
      </c>
      <c r="F27" s="7">
        <v>40119</v>
      </c>
      <c r="G27" s="7">
        <v>15242</v>
      </c>
      <c r="H27" s="7">
        <v>7540</v>
      </c>
      <c r="I27" s="7">
        <v>7515</v>
      </c>
      <c r="J27" s="8">
        <v>0</v>
      </c>
      <c r="K27" s="8">
        <v>0</v>
      </c>
      <c r="L27" s="8">
        <v>0</v>
      </c>
      <c r="M27" s="7">
        <v>15055</v>
      </c>
      <c r="N27" s="8">
        <v>187</v>
      </c>
      <c r="O27" s="7">
        <v>24877</v>
      </c>
      <c r="P27" s="17" t="str">
        <f>"투표율: "&amp;TEXT(((G25/F25)*100), "0.00")&amp;"%"</f>
        <v>투표율: 47.40%</v>
      </c>
      <c r="Q27" s="12" t="str">
        <f>"기권율: "&amp;TEXT(((O25/F25)*100), "0.00")&amp;"%"</f>
        <v>기권율: 52.60%</v>
      </c>
      <c r="R27" s="17" t="str">
        <f>"유효투표율: "&amp;TEXT(((M25/G25)*100), "0.00")&amp;"%"</f>
        <v>유효투표율: 98.64%</v>
      </c>
      <c r="S27" s="12" t="str">
        <f>"무효투표율: "&amp;TEXT(((N25/G25)*100), "0.00")&amp;"%"</f>
        <v>무효투표율: 1.36%</v>
      </c>
      <c r="T27" s="48"/>
      <c r="U27" s="25" t="str">
        <f>TEXT(H25,"#,##0")&amp;CHAR(10)&amp;"("&amp;TEXT((ROUND((H25/(SUM($H25:$L25))*100),2)),"0.00")&amp;"%)"</f>
        <v>11,184
(50.55%)</v>
      </c>
      <c r="V27" s="25" t="str">
        <f>TEXT(I25,"#,##0")&amp;CHAR(10)&amp;"("&amp;TEXT((ROUND((I25/(SUM($H25:$L25))*100),2)),"0.00")&amp;"%)"</f>
        <v>10,939
(49.45%)</v>
      </c>
      <c r="W27">
        <f>SUBSTITUTE(SUBSTITUTE(LEFT(U27,FIND("(",U27)-1),",",""),CHAR(10),"")+0</f>
        <v>11184</v>
      </c>
      <c r="X27">
        <f>SUBSTITUTE(SUBSTITUTE(LEFT(V27,FIND("(",V27)-1),",",""),CHAR(10),"")+0</f>
        <v>10939</v>
      </c>
    </row>
    <row r="28" spans="1:24" ht="17.25" thickBot="1">
      <c r="A28" s="2" t="s">
        <v>0</v>
      </c>
      <c r="B28" s="2" t="s">
        <v>1</v>
      </c>
      <c r="C28" s="2" t="s">
        <v>1</v>
      </c>
      <c r="D28" s="2" t="s">
        <v>19</v>
      </c>
      <c r="E28" s="2" t="s">
        <v>10</v>
      </c>
      <c r="F28" s="7">
        <v>73698</v>
      </c>
      <c r="G28" s="7">
        <v>37396</v>
      </c>
      <c r="H28" s="7">
        <v>20140</v>
      </c>
      <c r="I28" s="7">
        <v>16844</v>
      </c>
      <c r="J28" s="8">
        <v>0</v>
      </c>
      <c r="K28" s="8">
        <v>0</v>
      </c>
      <c r="L28" s="8">
        <v>0</v>
      </c>
      <c r="M28" s="7">
        <v>36984</v>
      </c>
      <c r="N28" s="8">
        <v>412</v>
      </c>
      <c r="O28" s="7">
        <v>36302</v>
      </c>
      <c r="P28" s="44" t="str">
        <f>D28</f>
        <v>범안동</v>
      </c>
      <c r="Q28" s="53"/>
      <c r="R28" s="53"/>
      <c r="S28" s="54"/>
      <c r="T28" s="30" t="s">
        <v>138</v>
      </c>
      <c r="U28" s="49" t="s">
        <v>136</v>
      </c>
      <c r="V28" s="50"/>
    </row>
    <row r="29" spans="1:24" ht="17.25" thickBot="1">
      <c r="A29" s="2" t="s">
        <v>0</v>
      </c>
      <c r="B29" s="2" t="s">
        <v>1</v>
      </c>
      <c r="C29" s="2" t="s">
        <v>1</v>
      </c>
      <c r="D29" s="2" t="s">
        <v>19</v>
      </c>
      <c r="E29" s="2" t="s">
        <v>11</v>
      </c>
      <c r="F29" s="7">
        <v>10306</v>
      </c>
      <c r="G29" s="7">
        <v>10278</v>
      </c>
      <c r="H29" s="7">
        <v>5643</v>
      </c>
      <c r="I29" s="7">
        <v>4489</v>
      </c>
      <c r="J29" s="8">
        <v>0</v>
      </c>
      <c r="K29" s="8">
        <v>0</v>
      </c>
      <c r="L29" s="8">
        <v>0</v>
      </c>
      <c r="M29" s="7">
        <v>10132</v>
      </c>
      <c r="N29" s="8">
        <v>146</v>
      </c>
      <c r="O29" s="8">
        <v>28</v>
      </c>
      <c r="P29" s="40" t="str">
        <f>"투표수: "&amp;TEXT((SUM(H28:L28)+N28), "#,##0")</f>
        <v>투표수: 37,396</v>
      </c>
      <c r="Q29" s="42"/>
      <c r="R29" s="18" t="str">
        <f>"유효투표수: "&amp;TEXT(SUM(H28:L28),"#,##0")</f>
        <v>유효투표수: 36,984</v>
      </c>
      <c r="S29" s="16" t="str">
        <f>"무효투표수: "&amp;TEXT(N28, "#,##0")</f>
        <v>무효투표수: 412</v>
      </c>
      <c r="T29" s="47" t="s">
        <v>140</v>
      </c>
      <c r="U29" s="34" t="str">
        <f>$H$3</f>
        <v>더불어민주당
조용익</v>
      </c>
      <c r="V29" s="34" t="str">
        <f>$I$3</f>
        <v>국민의힘
서영석</v>
      </c>
      <c r="W29" s="63"/>
      <c r="X29" s="63"/>
    </row>
    <row r="30" spans="1:24" ht="17.25" thickBot="1">
      <c r="A30" s="2" t="s">
        <v>0</v>
      </c>
      <c r="B30" s="2" t="s">
        <v>1</v>
      </c>
      <c r="C30" s="2" t="s">
        <v>1</v>
      </c>
      <c r="D30" s="2" t="s">
        <v>19</v>
      </c>
      <c r="E30" s="2" t="s">
        <v>12</v>
      </c>
      <c r="F30" s="7">
        <v>63392</v>
      </c>
      <c r="G30" s="7">
        <v>27118</v>
      </c>
      <c r="H30" s="7">
        <v>14497</v>
      </c>
      <c r="I30" s="7">
        <v>12355</v>
      </c>
      <c r="J30" s="8">
        <v>0</v>
      </c>
      <c r="K30" s="8">
        <v>0</v>
      </c>
      <c r="L30" s="8">
        <v>0</v>
      </c>
      <c r="M30" s="7">
        <v>26852</v>
      </c>
      <c r="N30" s="8">
        <v>266</v>
      </c>
      <c r="O30" s="7">
        <v>36274</v>
      </c>
      <c r="P30" s="17" t="str">
        <f>"투표율: "&amp;TEXT(((G28/F28)*100), "0.00")&amp;"%"</f>
        <v>투표율: 50.74%</v>
      </c>
      <c r="Q30" s="12" t="str">
        <f>"기권율: "&amp;TEXT(((O28/F28)*100), "0.00")&amp;"%"</f>
        <v>기권율: 49.26%</v>
      </c>
      <c r="R30" s="17" t="str">
        <f>"유효투표율: "&amp;TEXT(((M28/G28)*100), "0.00")&amp;"%"</f>
        <v>유효투표율: 98.90%</v>
      </c>
      <c r="S30" s="12" t="str">
        <f>"무효투표율: "&amp;TEXT(((N28/G28)*100), "0.00")&amp;"%"</f>
        <v>무효투표율: 1.10%</v>
      </c>
      <c r="T30" s="48"/>
      <c r="U30" s="25" t="str">
        <f>TEXT(H28,"#,##0")&amp;CHAR(10)&amp;"("&amp;TEXT((ROUND((H28/(SUM($H28:$L28))*100),2)),"0.00")&amp;"%)"</f>
        <v>20,140
(54.46%)</v>
      </c>
      <c r="V30" s="25" t="str">
        <f>TEXT(I28,"#,##0")&amp;CHAR(10)&amp;"("&amp;TEXT((ROUND((I28/(SUM($H28:$L28))*100),2)),"0.00")&amp;"%)"</f>
        <v>16,844
(45.54%)</v>
      </c>
      <c r="W30">
        <f>SUBSTITUTE(SUBSTITUTE(LEFT(U30,FIND("(",U30)-1),",",""),CHAR(10),"")+0</f>
        <v>20140</v>
      </c>
      <c r="X30">
        <f>SUBSTITUTE(SUBSTITUTE(LEFT(V30,FIND("(",V30)-1),",",""),CHAR(10),"")+0</f>
        <v>16844</v>
      </c>
    </row>
    <row r="31" spans="1:24" ht="17.25" thickBot="1">
      <c r="A31" s="2" t="s">
        <v>0</v>
      </c>
      <c r="B31" s="2" t="s">
        <v>1</v>
      </c>
      <c r="C31" s="2" t="s">
        <v>1</v>
      </c>
      <c r="D31" s="2" t="s">
        <v>20</v>
      </c>
      <c r="E31" s="2" t="s">
        <v>10</v>
      </c>
      <c r="F31" s="7">
        <v>69725</v>
      </c>
      <c r="G31" s="7">
        <v>29800</v>
      </c>
      <c r="H31" s="7">
        <v>15543</v>
      </c>
      <c r="I31" s="7">
        <v>13847</v>
      </c>
      <c r="J31" s="8">
        <v>0</v>
      </c>
      <c r="K31" s="8">
        <v>0</v>
      </c>
      <c r="L31" s="8">
        <v>0</v>
      </c>
      <c r="M31" s="7">
        <v>29390</v>
      </c>
      <c r="N31" s="8">
        <v>410</v>
      </c>
      <c r="O31" s="7">
        <v>39925</v>
      </c>
      <c r="P31" s="44" t="str">
        <f>D31</f>
        <v>성곡동</v>
      </c>
      <c r="Q31" s="53"/>
      <c r="R31" s="53"/>
      <c r="S31" s="54"/>
      <c r="T31" s="30" t="s">
        <v>138</v>
      </c>
      <c r="U31" s="49" t="s">
        <v>136</v>
      </c>
      <c r="V31" s="50"/>
    </row>
    <row r="32" spans="1:24" ht="17.25" thickBot="1">
      <c r="A32" s="2" t="s">
        <v>0</v>
      </c>
      <c r="B32" s="2" t="s">
        <v>1</v>
      </c>
      <c r="C32" s="2" t="s">
        <v>1</v>
      </c>
      <c r="D32" s="2" t="s">
        <v>20</v>
      </c>
      <c r="E32" s="2" t="s">
        <v>11</v>
      </c>
      <c r="F32" s="7">
        <v>9420</v>
      </c>
      <c r="G32" s="7">
        <v>9394</v>
      </c>
      <c r="H32" s="7">
        <v>5116</v>
      </c>
      <c r="I32" s="7">
        <v>4112</v>
      </c>
      <c r="J32" s="8">
        <v>0</v>
      </c>
      <c r="K32" s="8">
        <v>0</v>
      </c>
      <c r="L32" s="8">
        <v>0</v>
      </c>
      <c r="M32" s="7">
        <v>9228</v>
      </c>
      <c r="N32" s="8">
        <v>166</v>
      </c>
      <c r="O32" s="8">
        <v>26</v>
      </c>
      <c r="P32" s="40" t="str">
        <f>"투표수: "&amp;TEXT((SUM(H31:L31)+N31), "#,##0")</f>
        <v>투표수: 29,800</v>
      </c>
      <c r="Q32" s="42"/>
      <c r="R32" s="18" t="str">
        <f>"유효투표수: "&amp;TEXT(SUM(H31:L31),"#,##0")</f>
        <v>유효투표수: 29,390</v>
      </c>
      <c r="S32" s="16" t="str">
        <f>"무효투표수: "&amp;TEXT(N31, "#,##0")</f>
        <v>무효투표수: 410</v>
      </c>
      <c r="T32" s="47" t="s">
        <v>141</v>
      </c>
      <c r="U32" s="34" t="str">
        <f>$H$3</f>
        <v>더불어민주당
조용익</v>
      </c>
      <c r="V32" s="34" t="str">
        <f>$I$3</f>
        <v>국민의힘
서영석</v>
      </c>
      <c r="W32" s="63"/>
      <c r="X32" s="63"/>
    </row>
    <row r="33" spans="1:24" ht="17.25" thickBot="1">
      <c r="A33" s="2" t="s">
        <v>0</v>
      </c>
      <c r="B33" s="2" t="s">
        <v>1</v>
      </c>
      <c r="C33" s="2" t="s">
        <v>1</v>
      </c>
      <c r="D33" s="2" t="s">
        <v>20</v>
      </c>
      <c r="E33" s="2" t="s">
        <v>12</v>
      </c>
      <c r="F33" s="7">
        <v>60305</v>
      </c>
      <c r="G33" s="7">
        <v>20406</v>
      </c>
      <c r="H33" s="7">
        <v>10427</v>
      </c>
      <c r="I33" s="7">
        <v>9735</v>
      </c>
      <c r="J33" s="8">
        <v>0</v>
      </c>
      <c r="K33" s="8">
        <v>0</v>
      </c>
      <c r="L33" s="8">
        <v>0</v>
      </c>
      <c r="M33" s="7">
        <v>20162</v>
      </c>
      <c r="N33" s="8">
        <v>244</v>
      </c>
      <c r="O33" s="7">
        <v>39899</v>
      </c>
      <c r="P33" s="17" t="str">
        <f>"투표율: "&amp;TEXT(((G31/F31)*100), "0.00")&amp;"%"</f>
        <v>투표율: 42.74%</v>
      </c>
      <c r="Q33" s="12" t="str">
        <f>"기권율: "&amp;TEXT(((O31/F31)*100), "0.00")&amp;"%"</f>
        <v>기권율: 57.26%</v>
      </c>
      <c r="R33" s="17" t="str">
        <f>"유효투표율: "&amp;TEXT(((M31/G31)*100), "0.00")&amp;"%"</f>
        <v>유효투표율: 98.62%</v>
      </c>
      <c r="S33" s="12" t="str">
        <f>"무효투표율: "&amp;TEXT(((N31/G31)*100), "0.00")&amp;"%"</f>
        <v>무효투표율: 1.38%</v>
      </c>
      <c r="T33" s="48"/>
      <c r="U33" s="25" t="str">
        <f>TEXT(H31,"#,##0")&amp;CHAR(10)&amp;"("&amp;TEXT((ROUND((H31/(SUM($H31:$L31))*100),2)),"0.00")&amp;"%)"</f>
        <v>15,543
(52.89%)</v>
      </c>
      <c r="V33" s="25" t="str">
        <f>TEXT(I31,"#,##0")&amp;CHAR(10)&amp;"("&amp;TEXT((ROUND((I31/(SUM($H31:$L31))*100),2)),"0.00")&amp;"%)"</f>
        <v>13,847
(47.11%)</v>
      </c>
      <c r="W33">
        <f>SUBSTITUTE(SUBSTITUTE(LEFT(U33,FIND("(",U33)-1),",",""),CHAR(10),"")+0</f>
        <v>15543</v>
      </c>
      <c r="X33">
        <f>SUBSTITUTE(SUBSTITUTE(LEFT(V33,FIND("(",V33)-1),",",""),CHAR(10),"")+0</f>
        <v>13847</v>
      </c>
    </row>
    <row r="34" spans="1:24" ht="17.25" thickBot="1">
      <c r="A34" s="2" t="s">
        <v>0</v>
      </c>
      <c r="B34" s="2" t="s">
        <v>1</v>
      </c>
      <c r="C34" s="2" t="s">
        <v>1</v>
      </c>
      <c r="D34" s="2" t="s">
        <v>21</v>
      </c>
      <c r="E34" s="2" t="s">
        <v>10</v>
      </c>
      <c r="F34" s="7">
        <v>69052</v>
      </c>
      <c r="G34" s="7">
        <v>28207</v>
      </c>
      <c r="H34" s="7">
        <v>14296</v>
      </c>
      <c r="I34" s="7">
        <v>13520</v>
      </c>
      <c r="J34" s="8">
        <v>0</v>
      </c>
      <c r="K34" s="8">
        <v>0</v>
      </c>
      <c r="L34" s="8">
        <v>0</v>
      </c>
      <c r="M34" s="7">
        <v>27816</v>
      </c>
      <c r="N34" s="8">
        <v>391</v>
      </c>
      <c r="O34" s="7">
        <v>40845</v>
      </c>
      <c r="P34" s="44" t="str">
        <f>D34</f>
        <v>오정동</v>
      </c>
      <c r="Q34" s="53"/>
      <c r="R34" s="53"/>
      <c r="S34" s="54"/>
      <c r="T34" s="30" t="s">
        <v>138</v>
      </c>
      <c r="U34" s="49" t="s">
        <v>136</v>
      </c>
      <c r="V34" s="50"/>
    </row>
    <row r="35" spans="1:24" ht="17.25" thickBot="1">
      <c r="A35" s="2" t="s">
        <v>0</v>
      </c>
      <c r="B35" s="2" t="s">
        <v>1</v>
      </c>
      <c r="C35" s="2" t="s">
        <v>1</v>
      </c>
      <c r="D35" s="2" t="s">
        <v>21</v>
      </c>
      <c r="E35" s="2" t="s">
        <v>11</v>
      </c>
      <c r="F35" s="7">
        <v>7478</v>
      </c>
      <c r="G35" s="7">
        <v>7456</v>
      </c>
      <c r="H35" s="7">
        <v>3955</v>
      </c>
      <c r="I35" s="7">
        <v>3429</v>
      </c>
      <c r="J35" s="8">
        <v>0</v>
      </c>
      <c r="K35" s="8">
        <v>0</v>
      </c>
      <c r="L35" s="8">
        <v>0</v>
      </c>
      <c r="M35" s="7">
        <v>7384</v>
      </c>
      <c r="N35" s="8">
        <v>72</v>
      </c>
      <c r="O35" s="8">
        <v>22</v>
      </c>
      <c r="P35" s="40" t="str">
        <f>"투표수: "&amp;TEXT((SUM(H34:L34)+N34), "#,##0")</f>
        <v>투표수: 28,207</v>
      </c>
      <c r="Q35" s="42"/>
      <c r="R35" s="18" t="str">
        <f>"유효투표수: "&amp;TEXT(SUM(H34:L34),"#,##0")</f>
        <v>유효투표수: 27,816</v>
      </c>
      <c r="S35" s="16" t="str">
        <f>"무효투표수: "&amp;TEXT(N34, "#,##0")</f>
        <v>무효투표수: 391</v>
      </c>
      <c r="T35" s="47" t="s">
        <v>141</v>
      </c>
      <c r="U35" s="34" t="str">
        <f>$H$3</f>
        <v>더불어민주당
조용익</v>
      </c>
      <c r="V35" s="34" t="str">
        <f>$I$3</f>
        <v>국민의힘
서영석</v>
      </c>
      <c r="W35" s="63"/>
      <c r="X35" s="63"/>
    </row>
    <row r="36" spans="1:24" ht="17.25" thickBot="1">
      <c r="A36" s="2" t="s">
        <v>0</v>
      </c>
      <c r="B36" s="2" t="s">
        <v>1</v>
      </c>
      <c r="C36" s="2" t="s">
        <v>1</v>
      </c>
      <c r="D36" s="2" t="s">
        <v>21</v>
      </c>
      <c r="E36" s="2" t="s">
        <v>12</v>
      </c>
      <c r="F36" s="7">
        <v>61574</v>
      </c>
      <c r="G36" s="7">
        <v>20751</v>
      </c>
      <c r="H36" s="7">
        <v>10341</v>
      </c>
      <c r="I36" s="7">
        <v>10091</v>
      </c>
      <c r="J36" s="8">
        <v>0</v>
      </c>
      <c r="K36" s="8">
        <v>0</v>
      </c>
      <c r="L36" s="8">
        <v>0</v>
      </c>
      <c r="M36" s="7">
        <v>20432</v>
      </c>
      <c r="N36" s="8">
        <v>319</v>
      </c>
      <c r="O36" s="7">
        <v>40823</v>
      </c>
      <c r="P36" s="17" t="str">
        <f>"투표율: "&amp;TEXT(((G34/F34)*100), "0.00")&amp;"%"</f>
        <v>투표율: 40.85%</v>
      </c>
      <c r="Q36" s="12" t="str">
        <f>"기권율: "&amp;TEXT(((O34/F34)*100), "0.00")&amp;"%"</f>
        <v>기권율: 59.15%</v>
      </c>
      <c r="R36" s="17" t="str">
        <f>"유효투표율: "&amp;TEXT(((M34/G34)*100), "0.00")&amp;"%"</f>
        <v>유효투표율: 98.61%</v>
      </c>
      <c r="S36" s="12" t="str">
        <f>"무효투표율: "&amp;TEXT(((N34/G34)*100), "0.00")&amp;"%"</f>
        <v>무효투표율: 1.39%</v>
      </c>
      <c r="T36" s="48"/>
      <c r="U36" s="25" t="str">
        <f>TEXT(H34,"#,##0")&amp;CHAR(10)&amp;"("&amp;TEXT((ROUND((H34/(SUM($H34:$L34))*100),2)),"0.00")&amp;"%)"</f>
        <v>14,296
(51.39%)</v>
      </c>
      <c r="V36" s="25" t="str">
        <f>TEXT(I34,"#,##0")&amp;CHAR(10)&amp;"("&amp;TEXT((ROUND((I34/(SUM($H34:$L34))*100),2)),"0.00")&amp;"%)"</f>
        <v>13,520
(48.61%)</v>
      </c>
      <c r="W36">
        <f>SUBSTITUTE(SUBSTITUTE(LEFT(U36,FIND("(",U36)-1),",",""),CHAR(10),"")+0</f>
        <v>14296</v>
      </c>
      <c r="X36">
        <f>SUBSTITUTE(SUBSTITUTE(LEFT(V36,FIND("(",V36)-1),",",""),CHAR(10),"")+0</f>
        <v>13520</v>
      </c>
    </row>
    <row r="37" spans="1:24" ht="17.25" thickBot="1">
      <c r="A37" s="2" t="s">
        <v>0</v>
      </c>
      <c r="B37" s="2" t="s">
        <v>1</v>
      </c>
      <c r="C37" s="2" t="s">
        <v>1</v>
      </c>
      <c r="D37" s="2" t="s">
        <v>22</v>
      </c>
      <c r="E37" s="2" t="s">
        <v>2</v>
      </c>
      <c r="F37" s="8">
        <v>0</v>
      </c>
      <c r="G37" s="8">
        <v>557</v>
      </c>
      <c r="H37" s="8">
        <v>270</v>
      </c>
      <c r="I37" s="8">
        <v>257</v>
      </c>
      <c r="J37" s="8">
        <v>0</v>
      </c>
      <c r="K37" s="8">
        <v>0</v>
      </c>
      <c r="L37" s="8">
        <v>0</v>
      </c>
      <c r="M37" s="8">
        <v>527</v>
      </c>
      <c r="N37" s="8">
        <v>30</v>
      </c>
      <c r="O37" s="8">
        <v>-557</v>
      </c>
      <c r="P37" s="10"/>
      <c r="Q37" s="10"/>
    </row>
    <row r="38" spans="1:24" ht="17.25" thickBot="1">
      <c r="P38" s="13" t="s">
        <v>143</v>
      </c>
      <c r="Q38" s="14" t="s">
        <v>145</v>
      </c>
      <c r="R38" s="19" t="s">
        <v>147</v>
      </c>
    </row>
    <row r="39" spans="1:24" ht="17.25" thickBot="1">
      <c r="P39" s="31" t="str">
        <f>TEXT(((N34+N31)/(M34+M31))*100, "0.00")&amp;"%"</f>
        <v>1.40%</v>
      </c>
      <c r="Q39" s="32" t="str">
        <f>TEXT(((N19+N16+N13)/(M19+M16+M13))*100, "0.00")&amp;"%"</f>
        <v>0.97%</v>
      </c>
      <c r="R39" s="33" t="str">
        <f>TEXT(((N28+N25+N22)/(M28+M25+M22))*100, "0.00")&amp;"%"</f>
        <v>1.30%</v>
      </c>
    </row>
    <row r="41" spans="1:24" ht="17.25" thickBot="1"/>
    <row r="42" spans="1:24" ht="17.25" thickBot="1">
      <c r="P42" s="58" t="s">
        <v>194</v>
      </c>
      <c r="Q42" s="59"/>
      <c r="R42" s="60"/>
    </row>
    <row r="43" spans="1:24" ht="17.25" thickBot="1">
      <c r="P43" s="13" t="s">
        <v>141</v>
      </c>
      <c r="Q43" s="14" t="s">
        <v>139</v>
      </c>
      <c r="R43" s="19" t="s">
        <v>140</v>
      </c>
    </row>
    <row r="44" spans="1:24" ht="17.25" thickBot="1">
      <c r="P44" s="61">
        <f>(W36+W33)/(X36+W36+W33+X33)</f>
        <v>0.52160612523161909</v>
      </c>
      <c r="Q44" s="61">
        <f>(W15+W18+W21)/(W15+W18+W21+X21+X18+X15)</f>
        <v>0.50966967675933028</v>
      </c>
      <c r="R44" s="62">
        <f>(W30+W27+W24)/(W30+X30+W27+X27+W24+X24)</f>
        <v>0.52334024896265563</v>
      </c>
    </row>
    <row r="45" spans="1:24" ht="17.25" thickBot="1"/>
    <row r="46" spans="1:24" ht="17.25" thickBot="1">
      <c r="P46" s="58" t="s">
        <v>198</v>
      </c>
      <c r="Q46" s="59"/>
      <c r="R46" s="60"/>
    </row>
    <row r="47" spans="1:24" ht="17.25" thickBot="1">
      <c r="P47" s="66" t="s">
        <v>141</v>
      </c>
      <c r="Q47" s="67" t="s">
        <v>139</v>
      </c>
      <c r="R47" s="71" t="s">
        <v>140</v>
      </c>
    </row>
    <row r="48" spans="1:24" ht="17.25" thickBot="1">
      <c r="P48" s="86">
        <f>(X36+X33)/(X36+W36+W33+X33)</f>
        <v>0.47839387476838097</v>
      </c>
      <c r="Q48" s="86">
        <f>(X21+X18+X15)/(W15+W18+W21+X21+X18+X15)</f>
        <v>0.49033032324066972</v>
      </c>
      <c r="R48" s="87">
        <f>(X30+X27+X24)/(W30+X30+W27+X27+W24+X24)</f>
        <v>0.47665975103734443</v>
      </c>
    </row>
  </sheetData>
  <mergeCells count="57">
    <mergeCell ref="P42:R42"/>
    <mergeCell ref="P46:R46"/>
    <mergeCell ref="P34:S34"/>
    <mergeCell ref="U34:V34"/>
    <mergeCell ref="P35:Q35"/>
    <mergeCell ref="T35:T36"/>
    <mergeCell ref="P29:Q29"/>
    <mergeCell ref="T29:T30"/>
    <mergeCell ref="P31:S31"/>
    <mergeCell ref="U31:V31"/>
    <mergeCell ref="P32:Q32"/>
    <mergeCell ref="T32:T33"/>
    <mergeCell ref="P25:S25"/>
    <mergeCell ref="U25:V25"/>
    <mergeCell ref="P26:Q26"/>
    <mergeCell ref="T26:T27"/>
    <mergeCell ref="P28:S28"/>
    <mergeCell ref="U28:V28"/>
    <mergeCell ref="P20:Q20"/>
    <mergeCell ref="T20:T21"/>
    <mergeCell ref="P22:S22"/>
    <mergeCell ref="U22:V22"/>
    <mergeCell ref="P23:Q23"/>
    <mergeCell ref="T23:T24"/>
    <mergeCell ref="P16:S16"/>
    <mergeCell ref="U16:V16"/>
    <mergeCell ref="P17:Q17"/>
    <mergeCell ref="T17:T18"/>
    <mergeCell ref="P19:S19"/>
    <mergeCell ref="U19:V19"/>
    <mergeCell ref="P11:Q11"/>
    <mergeCell ref="T11:T12"/>
    <mergeCell ref="P13:S13"/>
    <mergeCell ref="U13:V13"/>
    <mergeCell ref="P14:Q14"/>
    <mergeCell ref="T14:T15"/>
    <mergeCell ref="P7:S7"/>
    <mergeCell ref="U7:V7"/>
    <mergeCell ref="P8:Q8"/>
    <mergeCell ref="T8:T9"/>
    <mergeCell ref="P10:S10"/>
    <mergeCell ref="U10:V10"/>
    <mergeCell ref="P4:S4"/>
    <mergeCell ref="P5:Q5"/>
    <mergeCell ref="T5:T6"/>
    <mergeCell ref="U4:V4"/>
    <mergeCell ref="M1:M2"/>
    <mergeCell ref="H1:L1"/>
    <mergeCell ref="G1:G2"/>
    <mergeCell ref="N1:N2"/>
    <mergeCell ref="O1:O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DFA5-EF94-4762-BF7B-49A629311157}">
  <dimension ref="A1:AF48"/>
  <sheetViews>
    <sheetView topLeftCell="I1" zoomScale="70" zoomScaleNormal="70" workbookViewId="0">
      <selection activeCell="N41" sqref="N41"/>
    </sheetView>
  </sheetViews>
  <sheetFormatPr defaultRowHeight="16.5"/>
  <cols>
    <col min="4" max="4" width="11.375" bestFit="1" customWidth="1"/>
    <col min="5" max="5" width="7.125" bestFit="1" customWidth="1"/>
    <col min="16" max="17" width="14.625" bestFit="1" customWidth="1"/>
    <col min="18" max="18" width="18.125" bestFit="1" customWidth="1"/>
    <col min="19" max="19" width="17.625" bestFit="1" customWidth="1"/>
    <col min="20" max="20" width="8.75" customWidth="1"/>
    <col min="21" max="21" width="19.25" bestFit="1" customWidth="1"/>
    <col min="22" max="22" width="14" bestFit="1" customWidth="1"/>
    <col min="23" max="23" width="13" bestFit="1" customWidth="1"/>
    <col min="24" max="24" width="17.25" bestFit="1" customWidth="1"/>
    <col min="25" max="25" width="13" bestFit="1" customWidth="1"/>
    <col min="26" max="26" width="11.375" bestFit="1" customWidth="1"/>
  </cols>
  <sheetData>
    <row r="1" spans="1:32">
      <c r="A1" s="38" t="s">
        <v>123</v>
      </c>
      <c r="B1" s="38" t="s">
        <v>108</v>
      </c>
      <c r="C1" s="38" t="s">
        <v>110</v>
      </c>
      <c r="D1" s="38" t="s">
        <v>111</v>
      </c>
      <c r="E1" s="38" t="s">
        <v>112</v>
      </c>
      <c r="F1" s="38" t="s">
        <v>113</v>
      </c>
      <c r="G1" s="55" t="s">
        <v>114</v>
      </c>
      <c r="H1" s="56"/>
      <c r="I1" s="56"/>
      <c r="J1" s="56"/>
      <c r="K1" s="56"/>
      <c r="L1" s="57"/>
      <c r="M1" s="38" t="s">
        <v>115</v>
      </c>
      <c r="N1" s="38" t="s">
        <v>116</v>
      </c>
      <c r="O1" s="38" t="s">
        <v>117</v>
      </c>
    </row>
    <row r="2" spans="1:32">
      <c r="A2" s="38"/>
      <c r="B2" s="38"/>
      <c r="C2" s="38"/>
      <c r="D2" s="38"/>
      <c r="E2" s="38" t="s">
        <v>112</v>
      </c>
      <c r="F2" s="38" t="s">
        <v>112</v>
      </c>
      <c r="G2" s="4" t="s">
        <v>118</v>
      </c>
      <c r="H2" s="4" t="s">
        <v>119</v>
      </c>
      <c r="I2" s="4" t="s">
        <v>120</v>
      </c>
      <c r="J2" s="4" t="s">
        <v>121</v>
      </c>
      <c r="K2" s="4" t="s">
        <v>122</v>
      </c>
      <c r="L2" s="4" t="s">
        <v>124</v>
      </c>
      <c r="M2" s="38" t="s">
        <v>112</v>
      </c>
      <c r="N2" s="38" t="s">
        <v>112</v>
      </c>
      <c r="O2" s="38" t="s">
        <v>112</v>
      </c>
    </row>
    <row r="3" spans="1:32" ht="41.25" thickBot="1">
      <c r="A3" s="2" t="s">
        <v>0</v>
      </c>
      <c r="B3" s="2" t="s">
        <v>1</v>
      </c>
      <c r="C3" s="2" t="s">
        <v>2</v>
      </c>
      <c r="D3" s="2" t="s">
        <v>2</v>
      </c>
      <c r="E3" s="2" t="s">
        <v>2</v>
      </c>
      <c r="F3" s="2" t="s">
        <v>2</v>
      </c>
      <c r="G3" s="3" t="s">
        <v>101</v>
      </c>
      <c r="H3" s="3" t="s">
        <v>102</v>
      </c>
      <c r="I3" s="3" t="s">
        <v>103</v>
      </c>
      <c r="J3" s="3" t="s">
        <v>104</v>
      </c>
      <c r="K3" s="3" t="s">
        <v>105</v>
      </c>
      <c r="L3" s="3" t="s">
        <v>106</v>
      </c>
      <c r="M3" s="2" t="s">
        <v>2</v>
      </c>
      <c r="N3" s="2" t="s">
        <v>2</v>
      </c>
      <c r="O3" s="2" t="s">
        <v>2</v>
      </c>
      <c r="S3" t="s">
        <v>166</v>
      </c>
    </row>
    <row r="4" spans="1:32" ht="17.25" thickBot="1">
      <c r="A4" s="2" t="s">
        <v>0</v>
      </c>
      <c r="B4" s="2" t="s">
        <v>1</v>
      </c>
      <c r="C4" s="2" t="s">
        <v>6</v>
      </c>
      <c r="D4" s="2" t="s">
        <v>2</v>
      </c>
      <c r="E4" s="7">
        <v>702974</v>
      </c>
      <c r="F4" s="7">
        <v>347502</v>
      </c>
      <c r="G4" s="7">
        <v>182163</v>
      </c>
      <c r="H4" s="7">
        <v>154942</v>
      </c>
      <c r="I4" s="7">
        <v>2733</v>
      </c>
      <c r="J4" s="8">
        <v>626</v>
      </c>
      <c r="K4" s="8">
        <v>713</v>
      </c>
      <c r="L4" s="7">
        <v>2826</v>
      </c>
      <c r="M4" s="7">
        <v>344003</v>
      </c>
      <c r="N4" s="7">
        <v>3499</v>
      </c>
      <c r="O4" s="7">
        <v>355472</v>
      </c>
      <c r="P4" s="44" t="str">
        <f>C4</f>
        <v>합계</v>
      </c>
      <c r="Q4" s="53"/>
      <c r="R4" s="53"/>
      <c r="S4" s="54"/>
      <c r="T4" s="30" t="s">
        <v>138</v>
      </c>
      <c r="U4" s="49" t="s">
        <v>136</v>
      </c>
      <c r="V4" s="51"/>
      <c r="W4" s="51"/>
      <c r="X4" s="51"/>
      <c r="Y4" s="51"/>
      <c r="Z4" s="50"/>
    </row>
    <row r="5" spans="1:32" ht="17.25" thickBot="1">
      <c r="A5" s="2" t="s">
        <v>0</v>
      </c>
      <c r="B5" s="2" t="s">
        <v>1</v>
      </c>
      <c r="C5" s="2" t="s">
        <v>7</v>
      </c>
      <c r="D5" s="2" t="s">
        <v>2</v>
      </c>
      <c r="E5" s="8">
        <v>888</v>
      </c>
      <c r="F5" s="8">
        <v>839</v>
      </c>
      <c r="G5" s="8">
        <v>379</v>
      </c>
      <c r="H5" s="8">
        <v>323</v>
      </c>
      <c r="I5" s="8">
        <v>8</v>
      </c>
      <c r="J5" s="8">
        <v>8</v>
      </c>
      <c r="K5" s="8">
        <v>7</v>
      </c>
      <c r="L5" s="8">
        <v>20</v>
      </c>
      <c r="M5" s="8">
        <v>745</v>
      </c>
      <c r="N5" s="8">
        <v>94</v>
      </c>
      <c r="O5" s="8">
        <v>49</v>
      </c>
      <c r="P5" s="40" t="str">
        <f>"투표수: "&amp;TEXT((SUM(G4:L4)+N4), "#,##0")</f>
        <v>투표수: 347,502</v>
      </c>
      <c r="Q5" s="42"/>
      <c r="R5" s="18" t="str">
        <f>"유효투표수: "&amp;TEXT(SUM(G4:L4),"#,##0")</f>
        <v>유효투표수: 344,003</v>
      </c>
      <c r="S5" s="16" t="str">
        <f>"무효투표수: "&amp;TEXT(N4, "#,##0")</f>
        <v>무효투표수: 3,499</v>
      </c>
      <c r="T5" s="47" t="s">
        <v>148</v>
      </c>
      <c r="U5" s="34" t="str">
        <f>G$3</f>
        <v>더불어민주당
김동연</v>
      </c>
      <c r="V5" s="34" t="str">
        <f>H$3</f>
        <v>국민의힘
김은혜</v>
      </c>
      <c r="W5" s="34" t="str">
        <f>I$3</f>
        <v>정의당
황순식</v>
      </c>
      <c r="X5" s="34" t="str">
        <f>J$3</f>
        <v>기본소득당
서태성</v>
      </c>
      <c r="Y5" s="34" t="str">
        <f>K$3</f>
        <v>진보당
송영주</v>
      </c>
      <c r="Z5" s="34" t="str">
        <f>L$3</f>
        <v>무소속
강용석</v>
      </c>
    </row>
    <row r="6" spans="1:32" ht="17.25" thickBot="1">
      <c r="A6" s="2" t="s">
        <v>0</v>
      </c>
      <c r="B6" s="2" t="s">
        <v>1</v>
      </c>
      <c r="C6" s="2" t="s">
        <v>8</v>
      </c>
      <c r="D6" s="2" t="s">
        <v>2</v>
      </c>
      <c r="E6" s="7">
        <v>38580</v>
      </c>
      <c r="F6" s="7">
        <v>38520</v>
      </c>
      <c r="G6" s="7">
        <v>21613</v>
      </c>
      <c r="H6" s="7">
        <v>15504</v>
      </c>
      <c r="I6" s="8">
        <v>383</v>
      </c>
      <c r="J6" s="8">
        <v>101</v>
      </c>
      <c r="K6" s="8">
        <v>127</v>
      </c>
      <c r="L6" s="8">
        <v>391</v>
      </c>
      <c r="M6" s="7">
        <v>38119</v>
      </c>
      <c r="N6" s="8">
        <v>401</v>
      </c>
      <c r="O6" s="8">
        <v>60</v>
      </c>
      <c r="P6" s="17" t="str">
        <f>"투표율: "&amp;TEXT(((F4/E4)*100), "0.00")&amp;"%"</f>
        <v>투표율: 49.43%</v>
      </c>
      <c r="Q6" s="12" t="str">
        <f>"기권율: "&amp;TEXT(((O4/E4)*100), "0.00")&amp;"%"</f>
        <v>기권율: 50.57%</v>
      </c>
      <c r="R6" s="17" t="str">
        <f>"유효투표율: "&amp;TEXT(((M4/F4)*100), "0.00")&amp;"%"</f>
        <v>유효투표율: 98.99%</v>
      </c>
      <c r="S6" s="12" t="str">
        <f>"무효투표율: "&amp;TEXT(((N4/F4)*100), "0.00")&amp;"%"</f>
        <v>무효투표율: 1.01%</v>
      </c>
      <c r="T6" s="48"/>
      <c r="U6" s="25" t="str">
        <f>TEXT(G4,"#,##0")&amp;CHAR(10)&amp;"("&amp;TEXT((ROUND((G4/(SUM($G4:$L4))*100),2)),"0.00")&amp;"%)"</f>
        <v>182,163
(52.95%)</v>
      </c>
      <c r="V6" s="25" t="str">
        <f>TEXT(H4,"#,##0")&amp;CHAR(10)&amp;"("&amp;TEXT((ROUND((H4/(SUM($G4:$L4))*100),2)),"0.00")&amp;"%)"</f>
        <v>154,942
(45.04%)</v>
      </c>
      <c r="W6" s="25" t="str">
        <f>TEXT(I4,"#,##0")&amp;CHAR(10)&amp;"("&amp;TEXT((ROUND((I4/(SUM($G4:$L4))*100),2)),"0.00")&amp;"%)"</f>
        <v>2,733
(0.79%)</v>
      </c>
      <c r="X6" s="25" t="str">
        <f>TEXT(J4,"#,##0")&amp;CHAR(10)&amp;"("&amp;TEXT((ROUND((J4/(SUM($G4:$L4))*100),2)),"0.00")&amp;"%)"</f>
        <v>626
(0.18%)</v>
      </c>
      <c r="Y6" s="25" t="str">
        <f>TEXT(K4,"#,##0")&amp;CHAR(10)&amp;"("&amp;TEXT((ROUND((K4/(SUM($G4:$L4))*100),2)),"0.00")&amp;"%)"</f>
        <v>713
(0.21%)</v>
      </c>
      <c r="Z6" s="25" t="str">
        <f>TEXT(L4,"#,##0")&amp;CHAR(10)&amp;"("&amp;TEXT((ROUND((L4/(SUM($G4:$L4))*100),2)),"0.00")&amp;"%)"</f>
        <v>2,826
(0.82%)</v>
      </c>
      <c r="AA6">
        <f>SUBSTITUTE(SUBSTITUTE(LEFT(U6,FIND("(",U6)-1),",",""),CHAR(10),"")+0</f>
        <v>182163</v>
      </c>
      <c r="AB6">
        <f>SUBSTITUTE(SUBSTITUTE(LEFT(V6,FIND("(",V6)-1),",",""),CHAR(10),"")+0</f>
        <v>154942</v>
      </c>
      <c r="AC6">
        <f>SUBSTITUTE(SUBSTITUTE(LEFT(W6,FIND("(",W6)-1),",",""),CHAR(10),"")+0</f>
        <v>2733</v>
      </c>
      <c r="AD6">
        <f>SUBSTITUTE(SUBSTITUTE(LEFT(X6,FIND("(",X6)-1),",",""),CHAR(10),"")+0</f>
        <v>626</v>
      </c>
      <c r="AE6">
        <f>SUBSTITUTE(SUBSTITUTE(LEFT(Y6,FIND("(",Y6)-1),",",""),CHAR(10),"")+0</f>
        <v>713</v>
      </c>
      <c r="AF6">
        <f>SUBSTITUTE(SUBSTITUTE(LEFT(Z6,FIND("(",Z6)-1),",",""),CHAR(10),"")+0</f>
        <v>2826</v>
      </c>
    </row>
    <row r="7" spans="1:32" ht="17.25" thickBot="1">
      <c r="A7" s="2" t="s">
        <v>0</v>
      </c>
      <c r="B7" s="2" t="s">
        <v>1</v>
      </c>
      <c r="C7" s="2" t="s">
        <v>9</v>
      </c>
      <c r="D7" s="2" t="s">
        <v>10</v>
      </c>
      <c r="E7" s="7">
        <v>55544</v>
      </c>
      <c r="F7" s="7">
        <v>21551</v>
      </c>
      <c r="G7" s="7">
        <v>11102</v>
      </c>
      <c r="H7" s="7">
        <v>9748</v>
      </c>
      <c r="I7" s="8">
        <v>172</v>
      </c>
      <c r="J7" s="8">
        <v>46</v>
      </c>
      <c r="K7" s="8">
        <v>42</v>
      </c>
      <c r="L7" s="8">
        <v>177</v>
      </c>
      <c r="M7" s="7">
        <v>21287</v>
      </c>
      <c r="N7" s="8">
        <v>264</v>
      </c>
      <c r="O7" s="7">
        <v>33993</v>
      </c>
      <c r="P7" s="44" t="str">
        <f>C7</f>
        <v>심곡동</v>
      </c>
      <c r="Q7" s="53"/>
      <c r="R7" s="53"/>
      <c r="S7" s="54"/>
      <c r="T7" s="30" t="s">
        <v>138</v>
      </c>
      <c r="U7" s="49" t="s">
        <v>136</v>
      </c>
      <c r="V7" s="51"/>
      <c r="W7" s="51"/>
      <c r="X7" s="51"/>
      <c r="Y7" s="51"/>
      <c r="Z7" s="50"/>
    </row>
    <row r="8" spans="1:32" ht="17.25" thickBot="1">
      <c r="A8" s="2" t="s">
        <v>0</v>
      </c>
      <c r="B8" s="2" t="s">
        <v>1</v>
      </c>
      <c r="C8" s="2" t="s">
        <v>9</v>
      </c>
      <c r="D8" s="2" t="s">
        <v>11</v>
      </c>
      <c r="E8" s="7">
        <v>7646</v>
      </c>
      <c r="F8" s="7">
        <v>7629</v>
      </c>
      <c r="G8" s="7">
        <v>4009</v>
      </c>
      <c r="H8" s="7">
        <v>3454</v>
      </c>
      <c r="I8" s="8">
        <v>48</v>
      </c>
      <c r="J8" s="8">
        <v>10</v>
      </c>
      <c r="K8" s="8">
        <v>16</v>
      </c>
      <c r="L8" s="8">
        <v>36</v>
      </c>
      <c r="M8" s="7">
        <v>7573</v>
      </c>
      <c r="N8" s="8">
        <v>56</v>
      </c>
      <c r="O8" s="8">
        <v>17</v>
      </c>
      <c r="P8" s="40" t="str">
        <f>"투표수: "&amp;TEXT((SUM(G7:L7)+N7), "#,##0")</f>
        <v>투표수: 21,551</v>
      </c>
      <c r="Q8" s="42"/>
      <c r="R8" s="18" t="str">
        <f>"유효투표수: "&amp;TEXT(SUM(G7:L7),"#,##0")</f>
        <v>유효투표수: 21,287</v>
      </c>
      <c r="S8" s="16" t="str">
        <f>"무효투표수: "&amp;TEXT(N7, "#,##0")</f>
        <v>무효투표수: 264</v>
      </c>
      <c r="T8" s="47" t="s">
        <v>154</v>
      </c>
      <c r="U8" s="34" t="str">
        <f>G$3</f>
        <v>더불어민주당
김동연</v>
      </c>
      <c r="V8" s="34" t="str">
        <f>H$3</f>
        <v>국민의힘
김은혜</v>
      </c>
      <c r="W8" s="34" t="str">
        <f>I$3</f>
        <v>정의당
황순식</v>
      </c>
      <c r="X8" s="34" t="str">
        <f>J$3</f>
        <v>기본소득당
서태성</v>
      </c>
      <c r="Y8" s="34" t="str">
        <f>K$3</f>
        <v>진보당
송영주</v>
      </c>
      <c r="Z8" s="34" t="str">
        <f>L$3</f>
        <v>무소속
강용석</v>
      </c>
      <c r="AA8" s="63"/>
      <c r="AB8" s="63"/>
      <c r="AC8" s="63"/>
      <c r="AD8" s="63"/>
      <c r="AE8" s="63"/>
      <c r="AF8" s="63"/>
    </row>
    <row r="9" spans="1:32" ht="17.25" thickBot="1">
      <c r="A9" s="2" t="s">
        <v>0</v>
      </c>
      <c r="B9" s="2" t="s">
        <v>1</v>
      </c>
      <c r="C9" s="2" t="s">
        <v>9</v>
      </c>
      <c r="D9" s="2" t="s">
        <v>12</v>
      </c>
      <c r="E9" s="7">
        <v>47898</v>
      </c>
      <c r="F9" s="7">
        <v>13922</v>
      </c>
      <c r="G9" s="7">
        <v>7093</v>
      </c>
      <c r="H9" s="7">
        <v>6294</v>
      </c>
      <c r="I9" s="8">
        <v>124</v>
      </c>
      <c r="J9" s="8">
        <v>36</v>
      </c>
      <c r="K9" s="8">
        <v>26</v>
      </c>
      <c r="L9" s="8">
        <v>141</v>
      </c>
      <c r="M9" s="7">
        <v>13714</v>
      </c>
      <c r="N9" s="8">
        <v>208</v>
      </c>
      <c r="O9" s="7">
        <v>33976</v>
      </c>
      <c r="P9" s="17" t="str">
        <f>"투표율: "&amp;TEXT(((F7/E7)*100), "0.00")&amp;"%"</f>
        <v>투표율: 38.80%</v>
      </c>
      <c r="Q9" s="12" t="str">
        <f>"기권율: "&amp;TEXT(((O7/E7)*100), "0.00")&amp;"%"</f>
        <v>기권율: 61.20%</v>
      </c>
      <c r="R9" s="17" t="str">
        <f>"유효투표율: "&amp;TEXT(((M7/F7)*100), "0.00")&amp;"%"</f>
        <v>유효투표율: 98.77%</v>
      </c>
      <c r="S9" s="12" t="str">
        <f>"무효투표율: "&amp;TEXT(((N7/F7)*100), "0.00")&amp;"%"</f>
        <v>무효투표율: 1.23%</v>
      </c>
      <c r="T9" s="48"/>
      <c r="U9" s="25" t="str">
        <f>TEXT(G7,"#,##0")&amp;CHAR(10)&amp;"("&amp;TEXT((ROUND((G7/(SUM($G7:$L7))*100),2)),"0.00")&amp;"%)"</f>
        <v>11,102
(52.15%)</v>
      </c>
      <c r="V9" s="25" t="str">
        <f>TEXT(H7,"#,##0")&amp;CHAR(10)&amp;"("&amp;TEXT((ROUND((H7/(SUM($G7:$L7))*100),2)),"0.00")&amp;"%)"</f>
        <v>9,748
(45.79%)</v>
      </c>
      <c r="W9" s="25" t="str">
        <f>TEXT(I7,"#,##0")&amp;CHAR(10)&amp;"("&amp;TEXT((ROUND((I7/(SUM($G7:$L7))*100),2)),"0.00")&amp;"%)"</f>
        <v>172
(0.81%)</v>
      </c>
      <c r="X9" s="25" t="str">
        <f>TEXT(J7,"#,##0")&amp;CHAR(10)&amp;"("&amp;TEXT((ROUND((J7/(SUM($G7:$L7))*100),2)),"0.00")&amp;"%)"</f>
        <v>46
(0.22%)</v>
      </c>
      <c r="Y9" s="25" t="str">
        <f>TEXT(K7,"#,##0")&amp;CHAR(10)&amp;"("&amp;TEXT((ROUND((K7/(SUM($G7:$L7))*100),2)),"0.00")&amp;"%)"</f>
        <v>42
(0.20%)</v>
      </c>
      <c r="Z9" s="25" t="str">
        <f>TEXT(L7,"#,##0")&amp;CHAR(10)&amp;"("&amp;TEXT((ROUND((L7/(SUM($G7:$L7))*100),2)),"0.00")&amp;"%)"</f>
        <v>177
(0.83%)</v>
      </c>
      <c r="AA9">
        <f>SUBSTITUTE(SUBSTITUTE(LEFT(U9,FIND("(",U9)-1),",",""),CHAR(10),"")+0</f>
        <v>11102</v>
      </c>
      <c r="AB9">
        <f>SUBSTITUTE(SUBSTITUTE(LEFT(V9,FIND("(",V9)-1),",",""),CHAR(10),"")+0</f>
        <v>9748</v>
      </c>
      <c r="AC9">
        <f>SUBSTITUTE(SUBSTITUTE(LEFT(W9,FIND("(",W9)-1),",",""),CHAR(10),"")+0</f>
        <v>172</v>
      </c>
      <c r="AD9">
        <f>SUBSTITUTE(SUBSTITUTE(LEFT(X9,FIND("(",X9)-1),",",""),CHAR(10),"")+0</f>
        <v>46</v>
      </c>
      <c r="AE9">
        <f>SUBSTITUTE(SUBSTITUTE(LEFT(Y9,FIND("(",Y9)-1),",",""),CHAR(10),"")+0</f>
        <v>42</v>
      </c>
      <c r="AF9">
        <f>SUBSTITUTE(SUBSTITUTE(LEFT(Z9,FIND("(",Z9)-1),",",""),CHAR(10),"")+0</f>
        <v>177</v>
      </c>
    </row>
    <row r="10" spans="1:32" ht="17.25" thickBot="1">
      <c r="A10" s="2" t="s">
        <v>0</v>
      </c>
      <c r="B10" s="2" t="s">
        <v>1</v>
      </c>
      <c r="C10" s="2" t="s">
        <v>13</v>
      </c>
      <c r="D10" s="2" t="s">
        <v>10</v>
      </c>
      <c r="E10" s="7">
        <v>75081</v>
      </c>
      <c r="F10" s="7">
        <v>33741</v>
      </c>
      <c r="G10" s="7">
        <v>17843</v>
      </c>
      <c r="H10" s="7">
        <v>14850</v>
      </c>
      <c r="I10" s="8">
        <v>271</v>
      </c>
      <c r="J10" s="8">
        <v>67</v>
      </c>
      <c r="K10" s="8">
        <v>66</v>
      </c>
      <c r="L10" s="8">
        <v>240</v>
      </c>
      <c r="M10" s="7">
        <v>33337</v>
      </c>
      <c r="N10" s="8">
        <v>404</v>
      </c>
      <c r="O10" s="7">
        <v>41340</v>
      </c>
      <c r="P10" s="44" t="str">
        <f>C10</f>
        <v>부천동</v>
      </c>
      <c r="Q10" s="53"/>
      <c r="R10" s="53"/>
      <c r="S10" s="54"/>
      <c r="T10" s="30" t="s">
        <v>138</v>
      </c>
      <c r="U10" s="49" t="s">
        <v>136</v>
      </c>
      <c r="V10" s="51"/>
      <c r="W10" s="51"/>
      <c r="X10" s="51"/>
      <c r="Y10" s="51"/>
      <c r="Z10" s="50"/>
    </row>
    <row r="11" spans="1:32" ht="17.25" thickBot="1">
      <c r="A11" s="2" t="s">
        <v>0</v>
      </c>
      <c r="B11" s="2" t="s">
        <v>1</v>
      </c>
      <c r="C11" s="2" t="s">
        <v>13</v>
      </c>
      <c r="D11" s="2" t="s">
        <v>11</v>
      </c>
      <c r="E11" s="7">
        <v>11409</v>
      </c>
      <c r="F11" s="7">
        <v>11402</v>
      </c>
      <c r="G11" s="7">
        <v>6296</v>
      </c>
      <c r="H11" s="7">
        <v>4866</v>
      </c>
      <c r="I11" s="8">
        <v>87</v>
      </c>
      <c r="J11" s="8">
        <v>12</v>
      </c>
      <c r="K11" s="8">
        <v>14</v>
      </c>
      <c r="L11" s="8">
        <v>48</v>
      </c>
      <c r="M11" s="7">
        <v>11323</v>
      </c>
      <c r="N11" s="8">
        <v>79</v>
      </c>
      <c r="O11" s="8">
        <v>7</v>
      </c>
      <c r="P11" s="40" t="str">
        <f>"투표수: "&amp;TEXT((SUM(G10:L10)+N10), "#,##0")</f>
        <v>투표수: 33,741</v>
      </c>
      <c r="Q11" s="42"/>
      <c r="R11" s="18" t="str">
        <f>"유효투표수: "&amp;TEXT(SUM(G10:L10),"#,##0")</f>
        <v>유효투표수: 33,337</v>
      </c>
      <c r="S11" s="16" t="str">
        <f>"무효투표수: "&amp;TEXT(N10, "#,##0")</f>
        <v>무효투표수: 404</v>
      </c>
      <c r="T11" s="47" t="s">
        <v>154</v>
      </c>
      <c r="U11" s="34" t="str">
        <f>G$3</f>
        <v>더불어민주당
김동연</v>
      </c>
      <c r="V11" s="34" t="str">
        <f>H$3</f>
        <v>국민의힘
김은혜</v>
      </c>
      <c r="W11" s="34" t="str">
        <f>I$3</f>
        <v>정의당
황순식</v>
      </c>
      <c r="X11" s="34" t="str">
        <f>J$3</f>
        <v>기본소득당
서태성</v>
      </c>
      <c r="Y11" s="34" t="str">
        <f>K$3</f>
        <v>진보당
송영주</v>
      </c>
      <c r="Z11" s="34" t="str">
        <f>L$3</f>
        <v>무소속
강용석</v>
      </c>
      <c r="AA11" s="63"/>
      <c r="AB11" s="63"/>
      <c r="AC11" s="63"/>
      <c r="AD11" s="63"/>
      <c r="AE11" s="63"/>
      <c r="AF11" s="63"/>
    </row>
    <row r="12" spans="1:32" ht="17.25" thickBot="1">
      <c r="A12" s="2" t="s">
        <v>0</v>
      </c>
      <c r="B12" s="2" t="s">
        <v>1</v>
      </c>
      <c r="C12" s="2" t="s">
        <v>13</v>
      </c>
      <c r="D12" s="2" t="s">
        <v>12</v>
      </c>
      <c r="E12" s="7">
        <v>63672</v>
      </c>
      <c r="F12" s="7">
        <v>22339</v>
      </c>
      <c r="G12" s="7">
        <v>11547</v>
      </c>
      <c r="H12" s="7">
        <v>9984</v>
      </c>
      <c r="I12" s="8">
        <v>184</v>
      </c>
      <c r="J12" s="8">
        <v>55</v>
      </c>
      <c r="K12" s="8">
        <v>52</v>
      </c>
      <c r="L12" s="8">
        <v>192</v>
      </c>
      <c r="M12" s="7">
        <v>22014</v>
      </c>
      <c r="N12" s="8">
        <v>325</v>
      </c>
      <c r="O12" s="7">
        <v>41333</v>
      </c>
      <c r="P12" s="17" t="str">
        <f>"투표율: "&amp;TEXT(((F10/E10)*100), "0.00")&amp;"%"</f>
        <v>투표율: 44.94%</v>
      </c>
      <c r="Q12" s="12" t="str">
        <f>"기권율: "&amp;TEXT(((O10/E10)*100), "0.00")&amp;"%"</f>
        <v>기권율: 55.06%</v>
      </c>
      <c r="R12" s="17" t="str">
        <f>"유효투표율: "&amp;TEXT(((M10/F10)*100), "0.00")&amp;"%"</f>
        <v>유효투표율: 98.80%</v>
      </c>
      <c r="S12" s="12" t="str">
        <f>"무효투표율: "&amp;TEXT(((N10/F10)*100), "0.00")&amp;"%"</f>
        <v>무효투표율: 1.20%</v>
      </c>
      <c r="T12" s="48"/>
      <c r="U12" s="25" t="str">
        <f>TEXT(G10,"#,##0")&amp;CHAR(10)&amp;"("&amp;TEXT((ROUND((G10/(SUM($G10:$L10))*100),2)),"0.00")&amp;"%)"</f>
        <v>17,843
(53.52%)</v>
      </c>
      <c r="V12" s="25" t="str">
        <f>TEXT(H10,"#,##0")&amp;CHAR(10)&amp;"("&amp;TEXT((ROUND((H10/(SUM($G10:$L10))*100),2)),"0.00")&amp;"%)"</f>
        <v>14,850
(44.55%)</v>
      </c>
      <c r="W12" s="25" t="str">
        <f>TEXT(I10,"#,##0")&amp;CHAR(10)&amp;"("&amp;TEXT((ROUND((I10/(SUM($G10:$L10))*100),2)),"0.00")&amp;"%)"</f>
        <v>271
(0.81%)</v>
      </c>
      <c r="X12" s="25" t="str">
        <f>TEXT(J10,"#,##0")&amp;CHAR(10)&amp;"("&amp;TEXT((ROUND((J10/(SUM($G10:$L10))*100),2)),"0.00")&amp;"%)"</f>
        <v>67
(0.20%)</v>
      </c>
      <c r="Y12" s="25" t="str">
        <f>TEXT(K10,"#,##0")&amp;CHAR(10)&amp;"("&amp;TEXT((ROUND((K10/(SUM($G10:$L10))*100),2)),"0.00")&amp;"%)"</f>
        <v>66
(0.20%)</v>
      </c>
      <c r="Z12" s="25" t="str">
        <f>TEXT(L10,"#,##0")&amp;CHAR(10)&amp;"("&amp;TEXT((ROUND((L10/(SUM($G10:$L10))*100),2)),"0.00")&amp;"%)"</f>
        <v>240
(0.72%)</v>
      </c>
      <c r="AA12">
        <f>SUBSTITUTE(SUBSTITUTE(LEFT(U12,FIND("(",U12)-1),",",""),CHAR(10),"")+0</f>
        <v>17843</v>
      </c>
      <c r="AB12">
        <f>SUBSTITUTE(SUBSTITUTE(LEFT(V12,FIND("(",V12)-1),",",""),CHAR(10),"")+0</f>
        <v>14850</v>
      </c>
      <c r="AC12">
        <f>SUBSTITUTE(SUBSTITUTE(LEFT(W12,FIND("(",W12)-1),",",""),CHAR(10),"")+0</f>
        <v>271</v>
      </c>
      <c r="AD12">
        <f>SUBSTITUTE(SUBSTITUTE(LEFT(X12,FIND("(",X12)-1),",",""),CHAR(10),"")+0</f>
        <v>67</v>
      </c>
      <c r="AE12">
        <f>SUBSTITUTE(SUBSTITUTE(LEFT(Y12,FIND("(",Y12)-1),",",""),CHAR(10),"")+0</f>
        <v>66</v>
      </c>
      <c r="AF12">
        <f>SUBSTITUTE(SUBSTITUTE(LEFT(Z12,FIND("(",Z12)-1),",",""),CHAR(10),"")+0</f>
        <v>240</v>
      </c>
    </row>
    <row r="13" spans="1:32" ht="17.25" thickBot="1">
      <c r="A13" s="2" t="s">
        <v>0</v>
      </c>
      <c r="B13" s="2" t="s">
        <v>1</v>
      </c>
      <c r="C13" s="2" t="s">
        <v>14</v>
      </c>
      <c r="D13" s="2" t="s">
        <v>10</v>
      </c>
      <c r="E13" s="7">
        <v>33255</v>
      </c>
      <c r="F13" s="7">
        <v>15992</v>
      </c>
      <c r="G13" s="7">
        <v>7802</v>
      </c>
      <c r="H13" s="7">
        <v>7750</v>
      </c>
      <c r="I13" s="8">
        <v>112</v>
      </c>
      <c r="J13" s="8">
        <v>19</v>
      </c>
      <c r="K13" s="8">
        <v>25</v>
      </c>
      <c r="L13" s="8">
        <v>123</v>
      </c>
      <c r="M13" s="7">
        <v>15831</v>
      </c>
      <c r="N13" s="8">
        <v>161</v>
      </c>
      <c r="O13" s="7">
        <v>17263</v>
      </c>
      <c r="P13" s="44" t="str">
        <f>C13</f>
        <v>중동</v>
      </c>
      <c r="Q13" s="53"/>
      <c r="R13" s="53"/>
      <c r="S13" s="54"/>
      <c r="T13" s="30" t="s">
        <v>138</v>
      </c>
      <c r="U13" s="49" t="s">
        <v>136</v>
      </c>
      <c r="V13" s="51"/>
      <c r="W13" s="51"/>
      <c r="X13" s="51"/>
      <c r="Y13" s="51"/>
      <c r="Z13" s="50"/>
    </row>
    <row r="14" spans="1:32" ht="17.25" thickBot="1">
      <c r="A14" s="2" t="s">
        <v>0</v>
      </c>
      <c r="B14" s="2" t="s">
        <v>1</v>
      </c>
      <c r="C14" s="2" t="s">
        <v>14</v>
      </c>
      <c r="D14" s="2" t="s">
        <v>11</v>
      </c>
      <c r="E14" s="7">
        <v>5125</v>
      </c>
      <c r="F14" s="7">
        <v>5112</v>
      </c>
      <c r="G14" s="7">
        <v>2523</v>
      </c>
      <c r="H14" s="7">
        <v>2481</v>
      </c>
      <c r="I14" s="8">
        <v>30</v>
      </c>
      <c r="J14" s="8">
        <v>1</v>
      </c>
      <c r="K14" s="8">
        <v>8</v>
      </c>
      <c r="L14" s="8">
        <v>25</v>
      </c>
      <c r="M14" s="7">
        <v>5068</v>
      </c>
      <c r="N14" s="8">
        <v>44</v>
      </c>
      <c r="O14" s="8">
        <v>13</v>
      </c>
      <c r="P14" s="40" t="str">
        <f>"투표수: "&amp;TEXT((SUM(G13:L13)+N13), "#,##0")</f>
        <v>투표수: 15,992</v>
      </c>
      <c r="Q14" s="42"/>
      <c r="R14" s="18" t="str">
        <f>"유효투표수: "&amp;TEXT(SUM(G13:L13),"#,##0")</f>
        <v>유효투표수: 15,831</v>
      </c>
      <c r="S14" s="16" t="str">
        <f>"무효투표수: "&amp;TEXT(N13, "#,##0")</f>
        <v>무효투표수: 161</v>
      </c>
      <c r="T14" s="47" t="s">
        <v>139</v>
      </c>
      <c r="U14" s="34" t="str">
        <f>G$3</f>
        <v>더불어민주당
김동연</v>
      </c>
      <c r="V14" s="34" t="str">
        <f>H$3</f>
        <v>국민의힘
김은혜</v>
      </c>
      <c r="W14" s="34" t="str">
        <f>I$3</f>
        <v>정의당
황순식</v>
      </c>
      <c r="X14" s="34" t="str">
        <f>J$3</f>
        <v>기본소득당
서태성</v>
      </c>
      <c r="Y14" s="34" t="str">
        <f>K$3</f>
        <v>진보당
송영주</v>
      </c>
      <c r="Z14" s="34" t="str">
        <f>L$3</f>
        <v>무소속
강용석</v>
      </c>
      <c r="AA14" s="63"/>
      <c r="AB14" s="63"/>
      <c r="AC14" s="63"/>
      <c r="AD14" s="63"/>
      <c r="AE14" s="63"/>
      <c r="AF14" s="63"/>
    </row>
    <row r="15" spans="1:32" ht="17.25" thickBot="1">
      <c r="A15" s="2" t="s">
        <v>0</v>
      </c>
      <c r="B15" s="2" t="s">
        <v>1</v>
      </c>
      <c r="C15" s="2" t="s">
        <v>14</v>
      </c>
      <c r="D15" s="2" t="s">
        <v>12</v>
      </c>
      <c r="E15" s="7">
        <v>28130</v>
      </c>
      <c r="F15" s="7">
        <v>10880</v>
      </c>
      <c r="G15" s="7">
        <v>5279</v>
      </c>
      <c r="H15" s="7">
        <v>5269</v>
      </c>
      <c r="I15" s="8">
        <v>82</v>
      </c>
      <c r="J15" s="8">
        <v>18</v>
      </c>
      <c r="K15" s="8">
        <v>17</v>
      </c>
      <c r="L15" s="8">
        <v>98</v>
      </c>
      <c r="M15" s="7">
        <v>10763</v>
      </c>
      <c r="N15" s="8">
        <v>117</v>
      </c>
      <c r="O15" s="7">
        <v>17250</v>
      </c>
      <c r="P15" s="17" t="str">
        <f>"투표율: "&amp;TEXT(((F13/E13)*100), "0.00")&amp;"%"</f>
        <v>투표율: 48.09%</v>
      </c>
      <c r="Q15" s="12" t="str">
        <f>"기권율: "&amp;TEXT(((O13/E13)*100), "0.00")&amp;"%"</f>
        <v>기권율: 51.91%</v>
      </c>
      <c r="R15" s="17" t="str">
        <f>"유효투표율: "&amp;TEXT(((M13/F13)*100), "0.00")&amp;"%"</f>
        <v>유효투표율: 98.99%</v>
      </c>
      <c r="S15" s="12" t="str">
        <f>"무효투표율: "&amp;TEXT(((N13/F13)*100), "0.00")&amp;"%"</f>
        <v>무효투표율: 1.01%</v>
      </c>
      <c r="T15" s="48"/>
      <c r="U15" s="25" t="str">
        <f>TEXT(G13,"#,##0")&amp;CHAR(10)&amp;"("&amp;TEXT((ROUND((G13/(SUM($G13:$L13))*100),2)),"0.00")&amp;"%)"</f>
        <v>7,802
(49.28%)</v>
      </c>
      <c r="V15" s="25" t="str">
        <f>TEXT(H13,"#,##0")&amp;CHAR(10)&amp;"("&amp;TEXT((ROUND((H13/(SUM($G13:$L13))*100),2)),"0.00")&amp;"%)"</f>
        <v>7,750
(48.95%)</v>
      </c>
      <c r="W15" s="25" t="str">
        <f>TEXT(I13,"#,##0")&amp;CHAR(10)&amp;"("&amp;TEXT((ROUND((I13/(SUM($G13:$L13))*100),2)),"0.00")&amp;"%)"</f>
        <v>112
(0.71%)</v>
      </c>
      <c r="X15" s="25" t="str">
        <f>TEXT(J13,"#,##0")&amp;CHAR(10)&amp;"("&amp;TEXT((ROUND((J13/(SUM($G13:$L13))*100),2)),"0.00")&amp;"%)"</f>
        <v>19
(0.12%)</v>
      </c>
      <c r="Y15" s="25" t="str">
        <f>TEXT(K13,"#,##0")&amp;CHAR(10)&amp;"("&amp;TEXT((ROUND((K13/(SUM($G13:$L13))*100),2)),"0.00")&amp;"%)"</f>
        <v>25
(0.16%)</v>
      </c>
      <c r="Z15" s="25" t="str">
        <f>TEXT(L13,"#,##0")&amp;CHAR(10)&amp;"("&amp;TEXT((ROUND((L13/(SUM($G13:$L13))*100),2)),"0.00")&amp;"%)"</f>
        <v>123
(0.78%)</v>
      </c>
      <c r="AA15">
        <f>SUBSTITUTE(SUBSTITUTE(LEFT(U15,FIND("(",U15)-1),",",""),CHAR(10),"")+0</f>
        <v>7802</v>
      </c>
      <c r="AB15">
        <f>SUBSTITUTE(SUBSTITUTE(LEFT(V15,FIND("(",V15)-1),",",""),CHAR(10),"")+0</f>
        <v>7750</v>
      </c>
      <c r="AC15">
        <f>SUBSTITUTE(SUBSTITUTE(LEFT(W15,FIND("(",W15)-1),",",""),CHAR(10),"")+0</f>
        <v>112</v>
      </c>
      <c r="AD15">
        <f>SUBSTITUTE(SUBSTITUTE(LEFT(X15,FIND("(",X15)-1),",",""),CHAR(10),"")+0</f>
        <v>19</v>
      </c>
      <c r="AE15">
        <f>SUBSTITUTE(SUBSTITUTE(LEFT(Y15,FIND("(",Y15)-1),",",""),CHAR(10),"")+0</f>
        <v>25</v>
      </c>
      <c r="AF15">
        <f>SUBSTITUTE(SUBSTITUTE(LEFT(Z15,FIND("(",Z15)-1),",",""),CHAR(10),"")+0</f>
        <v>123</v>
      </c>
    </row>
    <row r="16" spans="1:32" ht="17.25" thickBot="1">
      <c r="A16" s="2" t="s">
        <v>0</v>
      </c>
      <c r="B16" s="2" t="s">
        <v>1</v>
      </c>
      <c r="C16" s="2" t="s">
        <v>15</v>
      </c>
      <c r="D16" s="2" t="s">
        <v>10</v>
      </c>
      <c r="E16" s="7">
        <v>104891</v>
      </c>
      <c r="F16" s="7">
        <v>51696</v>
      </c>
      <c r="G16" s="7">
        <v>25898</v>
      </c>
      <c r="H16" s="7">
        <v>24443</v>
      </c>
      <c r="I16" s="8">
        <v>376</v>
      </c>
      <c r="J16" s="8">
        <v>68</v>
      </c>
      <c r="K16" s="8">
        <v>81</v>
      </c>
      <c r="L16" s="8">
        <v>410</v>
      </c>
      <c r="M16" s="7">
        <v>51276</v>
      </c>
      <c r="N16" s="8">
        <v>420</v>
      </c>
      <c r="O16" s="7">
        <v>53195</v>
      </c>
      <c r="P16" s="44" t="str">
        <f>C16</f>
        <v>신중동</v>
      </c>
      <c r="Q16" s="53"/>
      <c r="R16" s="53"/>
      <c r="S16" s="54"/>
      <c r="T16" s="30" t="s">
        <v>138</v>
      </c>
      <c r="U16" s="49" t="s">
        <v>136</v>
      </c>
      <c r="V16" s="51"/>
      <c r="W16" s="51"/>
      <c r="X16" s="51"/>
      <c r="Y16" s="51"/>
      <c r="Z16" s="50"/>
    </row>
    <row r="17" spans="1:32" ht="17.25" thickBot="1">
      <c r="A17" s="2" t="s">
        <v>0</v>
      </c>
      <c r="B17" s="2" t="s">
        <v>1</v>
      </c>
      <c r="C17" s="2" t="s">
        <v>15</v>
      </c>
      <c r="D17" s="2" t="s">
        <v>11</v>
      </c>
      <c r="E17" s="7">
        <v>14948</v>
      </c>
      <c r="F17" s="7">
        <v>14945</v>
      </c>
      <c r="G17" s="7">
        <v>7917</v>
      </c>
      <c r="H17" s="7">
        <v>6779</v>
      </c>
      <c r="I17" s="8">
        <v>74</v>
      </c>
      <c r="J17" s="8">
        <v>13</v>
      </c>
      <c r="K17" s="8">
        <v>16</v>
      </c>
      <c r="L17" s="8">
        <v>66</v>
      </c>
      <c r="M17" s="7">
        <v>14865</v>
      </c>
      <c r="N17" s="8">
        <v>80</v>
      </c>
      <c r="O17" s="8">
        <v>3</v>
      </c>
      <c r="P17" s="40" t="str">
        <f>"투표수: "&amp;TEXT((SUM(G16:L16)+N16), "#,##0")</f>
        <v>투표수: 51,696</v>
      </c>
      <c r="Q17" s="42"/>
      <c r="R17" s="18" t="str">
        <f>"유효투표수: "&amp;TEXT(SUM(G16:L16),"#,##0")</f>
        <v>유효투표수: 51,276</v>
      </c>
      <c r="S17" s="16" t="str">
        <f>"무효투표수: "&amp;TEXT(N16, "#,##0")</f>
        <v>무효투표수: 420</v>
      </c>
      <c r="T17" s="47" t="s">
        <v>139</v>
      </c>
      <c r="U17" s="34" t="str">
        <f>G$3</f>
        <v>더불어민주당
김동연</v>
      </c>
      <c r="V17" s="34" t="str">
        <f>H$3</f>
        <v>국민의힘
김은혜</v>
      </c>
      <c r="W17" s="34" t="str">
        <f>I$3</f>
        <v>정의당
황순식</v>
      </c>
      <c r="X17" s="34" t="str">
        <f>J$3</f>
        <v>기본소득당
서태성</v>
      </c>
      <c r="Y17" s="34" t="str">
        <f>K$3</f>
        <v>진보당
송영주</v>
      </c>
      <c r="Z17" s="34" t="str">
        <f>L$3</f>
        <v>무소속
강용석</v>
      </c>
      <c r="AA17" s="63"/>
      <c r="AB17" s="63"/>
      <c r="AC17" s="63"/>
      <c r="AD17" s="63"/>
      <c r="AE17" s="63"/>
      <c r="AF17" s="63"/>
    </row>
    <row r="18" spans="1:32" ht="17.25" thickBot="1">
      <c r="A18" s="2" t="s">
        <v>0</v>
      </c>
      <c r="B18" s="2" t="s">
        <v>1</v>
      </c>
      <c r="C18" s="2" t="s">
        <v>15</v>
      </c>
      <c r="D18" s="2" t="s">
        <v>12</v>
      </c>
      <c r="E18" s="7">
        <v>89943</v>
      </c>
      <c r="F18" s="7">
        <v>36751</v>
      </c>
      <c r="G18" s="7">
        <v>17981</v>
      </c>
      <c r="H18" s="7">
        <v>17664</v>
      </c>
      <c r="I18" s="8">
        <v>302</v>
      </c>
      <c r="J18" s="8">
        <v>55</v>
      </c>
      <c r="K18" s="8">
        <v>65</v>
      </c>
      <c r="L18" s="8">
        <v>344</v>
      </c>
      <c r="M18" s="7">
        <v>36411</v>
      </c>
      <c r="N18" s="8">
        <v>340</v>
      </c>
      <c r="O18" s="7">
        <v>53192</v>
      </c>
      <c r="P18" s="17" t="str">
        <f>"투표율: "&amp;TEXT(((F16/E16)*100), "0.00")&amp;"%"</f>
        <v>투표율: 49.29%</v>
      </c>
      <c r="Q18" s="12" t="str">
        <f>"기권율: "&amp;TEXT(((O16/E16)*100), "0.00")&amp;"%"</f>
        <v>기권율: 50.71%</v>
      </c>
      <c r="R18" s="17" t="str">
        <f>"유효투표율: "&amp;TEXT(((M16/F16)*100), "0.00")&amp;"%"</f>
        <v>유효투표율: 99.19%</v>
      </c>
      <c r="S18" s="12" t="str">
        <f>"무효투표율: "&amp;TEXT(((N16/F16)*100), "0.00")&amp;"%"</f>
        <v>무효투표율: 0.81%</v>
      </c>
      <c r="T18" s="48"/>
      <c r="U18" s="25" t="str">
        <f>TEXT(G16,"#,##0")&amp;CHAR(10)&amp;"("&amp;TEXT((ROUND((G16/(SUM($G16:$L16))*100),2)),"0.00")&amp;"%)"</f>
        <v>25,898
(50.51%)</v>
      </c>
      <c r="V18" s="25" t="str">
        <f>TEXT(H16,"#,##0")&amp;CHAR(10)&amp;"("&amp;TEXT((ROUND((H16/(SUM($G16:$L16))*100),2)),"0.00")&amp;"%)"</f>
        <v>24,443
(47.67%)</v>
      </c>
      <c r="W18" s="25" t="str">
        <f>TEXT(I16,"#,##0")&amp;CHAR(10)&amp;"("&amp;TEXT((ROUND((I16/(SUM($G16:$L16))*100),2)),"0.00")&amp;"%)"</f>
        <v>376
(0.73%)</v>
      </c>
      <c r="X18" s="25" t="str">
        <f>TEXT(J16,"#,##0")&amp;CHAR(10)&amp;"("&amp;TEXT((ROUND((J16/(SUM($G16:$L16))*100),2)),"0.00")&amp;"%)"</f>
        <v>68
(0.13%)</v>
      </c>
      <c r="Y18" s="25" t="str">
        <f>TEXT(K16,"#,##0")&amp;CHAR(10)&amp;"("&amp;TEXT((ROUND((K16/(SUM($G16:$L16))*100),2)),"0.00")&amp;"%)"</f>
        <v>81
(0.16%)</v>
      </c>
      <c r="Z18" s="25" t="str">
        <f>TEXT(L16,"#,##0")&amp;CHAR(10)&amp;"("&amp;TEXT((ROUND((L16/(SUM($G16:$L16))*100),2)),"0.00")&amp;"%)"</f>
        <v>410
(0.80%)</v>
      </c>
      <c r="AA18">
        <f>SUBSTITUTE(SUBSTITUTE(LEFT(U18,FIND("(",U18)-1),",",""),CHAR(10),"")+0</f>
        <v>25898</v>
      </c>
      <c r="AB18">
        <f>SUBSTITUTE(SUBSTITUTE(LEFT(V18,FIND("(",V18)-1),",",""),CHAR(10),"")+0</f>
        <v>24443</v>
      </c>
      <c r="AC18">
        <f>SUBSTITUTE(SUBSTITUTE(LEFT(W18,FIND("(",W18)-1),",",""),CHAR(10),"")+0</f>
        <v>376</v>
      </c>
      <c r="AD18">
        <f>SUBSTITUTE(SUBSTITUTE(LEFT(X18,FIND("(",X18)-1),",",""),CHAR(10),"")+0</f>
        <v>68</v>
      </c>
      <c r="AE18">
        <f>SUBSTITUTE(SUBSTITUTE(LEFT(Y18,FIND("(",Y18)-1),",",""),CHAR(10),"")+0</f>
        <v>81</v>
      </c>
      <c r="AF18">
        <f>SUBSTITUTE(SUBSTITUTE(LEFT(Z18,FIND("(",Z18)-1),",",""),CHAR(10),"")+0</f>
        <v>410</v>
      </c>
    </row>
    <row r="19" spans="1:32" ht="17.25" thickBot="1">
      <c r="A19" s="2" t="s">
        <v>0</v>
      </c>
      <c r="B19" s="2" t="s">
        <v>1</v>
      </c>
      <c r="C19" s="2" t="s">
        <v>16</v>
      </c>
      <c r="D19" s="2" t="s">
        <v>10</v>
      </c>
      <c r="E19" s="7">
        <v>65723</v>
      </c>
      <c r="F19" s="7">
        <v>35097</v>
      </c>
      <c r="G19" s="7">
        <v>19089</v>
      </c>
      <c r="H19" s="7">
        <v>15206</v>
      </c>
      <c r="I19" s="8">
        <v>234</v>
      </c>
      <c r="J19" s="8">
        <v>37</v>
      </c>
      <c r="K19" s="8">
        <v>44</v>
      </c>
      <c r="L19" s="8">
        <v>290</v>
      </c>
      <c r="M19" s="7">
        <v>34900</v>
      </c>
      <c r="N19" s="8">
        <v>197</v>
      </c>
      <c r="O19" s="7">
        <v>30626</v>
      </c>
      <c r="P19" s="44" t="str">
        <f>C19</f>
        <v>상동</v>
      </c>
      <c r="Q19" s="53"/>
      <c r="R19" s="53"/>
      <c r="S19" s="54"/>
      <c r="T19" s="30" t="s">
        <v>138</v>
      </c>
      <c r="U19" s="49" t="s">
        <v>136</v>
      </c>
      <c r="V19" s="51"/>
      <c r="W19" s="51"/>
      <c r="X19" s="51"/>
      <c r="Y19" s="51"/>
      <c r="Z19" s="50"/>
    </row>
    <row r="20" spans="1:32" ht="17.25" thickBot="1">
      <c r="A20" s="2" t="s">
        <v>0</v>
      </c>
      <c r="B20" s="2" t="s">
        <v>1</v>
      </c>
      <c r="C20" s="2" t="s">
        <v>16</v>
      </c>
      <c r="D20" s="2" t="s">
        <v>11</v>
      </c>
      <c r="E20" s="7">
        <v>12380</v>
      </c>
      <c r="F20" s="7">
        <v>12375</v>
      </c>
      <c r="G20" s="7">
        <v>6933</v>
      </c>
      <c r="H20" s="7">
        <v>5233</v>
      </c>
      <c r="I20" s="8">
        <v>74</v>
      </c>
      <c r="J20" s="8">
        <v>6</v>
      </c>
      <c r="K20" s="8">
        <v>14</v>
      </c>
      <c r="L20" s="8">
        <v>76</v>
      </c>
      <c r="M20" s="7">
        <v>12336</v>
      </c>
      <c r="N20" s="8">
        <v>39</v>
      </c>
      <c r="O20" s="8">
        <v>5</v>
      </c>
      <c r="P20" s="40" t="str">
        <f>"투표수: "&amp;TEXT((SUM(G19:L19)+N19), "#,##0")</f>
        <v>투표수: 35,097</v>
      </c>
      <c r="Q20" s="42"/>
      <c r="R20" s="18" t="str">
        <f>"유효투표수: "&amp;TEXT(SUM(G19:L19),"#,##0")</f>
        <v>유효투표수: 34,900</v>
      </c>
      <c r="S20" s="16" t="str">
        <f>"무효투표수: "&amp;TEXT(N19, "#,##0")</f>
        <v>무효투표수: 197</v>
      </c>
      <c r="T20" s="47" t="s">
        <v>139</v>
      </c>
      <c r="U20" s="34" t="str">
        <f>G$3</f>
        <v>더불어민주당
김동연</v>
      </c>
      <c r="V20" s="34" t="str">
        <f>H$3</f>
        <v>국민의힘
김은혜</v>
      </c>
      <c r="W20" s="34" t="str">
        <f>I$3</f>
        <v>정의당
황순식</v>
      </c>
      <c r="X20" s="34" t="str">
        <f>J$3</f>
        <v>기본소득당
서태성</v>
      </c>
      <c r="Y20" s="34" t="str">
        <f>K$3</f>
        <v>진보당
송영주</v>
      </c>
      <c r="Z20" s="34" t="str">
        <f>L$3</f>
        <v>무소속
강용석</v>
      </c>
      <c r="AA20" s="63"/>
      <c r="AB20" s="63"/>
      <c r="AC20" s="63"/>
      <c r="AD20" s="63"/>
      <c r="AE20" s="63"/>
      <c r="AF20" s="63"/>
    </row>
    <row r="21" spans="1:32" ht="17.25" thickBot="1">
      <c r="A21" s="2" t="s">
        <v>0</v>
      </c>
      <c r="B21" s="2" t="s">
        <v>1</v>
      </c>
      <c r="C21" s="2" t="s">
        <v>16</v>
      </c>
      <c r="D21" s="2" t="s">
        <v>12</v>
      </c>
      <c r="E21" s="7">
        <v>53343</v>
      </c>
      <c r="F21" s="7">
        <v>22722</v>
      </c>
      <c r="G21" s="7">
        <v>12156</v>
      </c>
      <c r="H21" s="7">
        <v>9973</v>
      </c>
      <c r="I21" s="8">
        <v>160</v>
      </c>
      <c r="J21" s="8">
        <v>31</v>
      </c>
      <c r="K21" s="8">
        <v>30</v>
      </c>
      <c r="L21" s="8">
        <v>214</v>
      </c>
      <c r="M21" s="7">
        <v>22564</v>
      </c>
      <c r="N21" s="8">
        <v>158</v>
      </c>
      <c r="O21" s="7">
        <v>30621</v>
      </c>
      <c r="P21" s="17" t="str">
        <f>"투표율: "&amp;TEXT(((F19/E19)*100), "0.00")&amp;"%"</f>
        <v>투표율: 53.40%</v>
      </c>
      <c r="Q21" s="12" t="str">
        <f>"기권율: "&amp;TEXT(((O19/E19)*100), "0.00")&amp;"%"</f>
        <v>기권율: 46.60%</v>
      </c>
      <c r="R21" s="17" t="str">
        <f>"유효투표율: "&amp;TEXT(((M19/F19)*100), "0.00")&amp;"%"</f>
        <v>유효투표율: 99.44%</v>
      </c>
      <c r="S21" s="12" t="str">
        <f>"무효투표율: "&amp;TEXT(((N19/F19)*100), "0.00")&amp;"%"</f>
        <v>무효투표율: 0.56%</v>
      </c>
      <c r="T21" s="48"/>
      <c r="U21" s="25" t="str">
        <f>TEXT(G19,"#,##0")&amp;CHAR(10)&amp;"("&amp;TEXT((ROUND((G19/(SUM($G19:$L19))*100),2)),"0.00")&amp;"%)"</f>
        <v>19,089
(54.70%)</v>
      </c>
      <c r="V21" s="25" t="str">
        <f>TEXT(H19,"#,##0")&amp;CHAR(10)&amp;"("&amp;TEXT((ROUND((H19/(SUM($G19:$L19))*100),2)),"0.00")&amp;"%)"</f>
        <v>15,206
(43.57%)</v>
      </c>
      <c r="W21" s="25" t="str">
        <f>TEXT(I19,"#,##0")&amp;CHAR(10)&amp;"("&amp;TEXT((ROUND((I19/(SUM($G19:$L19))*100),2)),"0.00")&amp;"%)"</f>
        <v>234
(0.67%)</v>
      </c>
      <c r="X21" s="25" t="str">
        <f>TEXT(J19,"#,##0")&amp;CHAR(10)&amp;"("&amp;TEXT((ROUND((J19/(SUM($G19:$L19))*100),2)),"0.00")&amp;"%)"</f>
        <v>37
(0.11%)</v>
      </c>
      <c r="Y21" s="25" t="str">
        <f>TEXT(K19,"#,##0")&amp;CHAR(10)&amp;"("&amp;TEXT((ROUND((K19/(SUM($G19:$L19))*100),2)),"0.00")&amp;"%)"</f>
        <v>44
(0.13%)</v>
      </c>
      <c r="Z21" s="25" t="str">
        <f>TEXT(L19,"#,##0")&amp;CHAR(10)&amp;"("&amp;TEXT((ROUND((L19/(SUM($G19:$L19))*100),2)),"0.00")&amp;"%)"</f>
        <v>290
(0.83%)</v>
      </c>
      <c r="AA21">
        <f>SUBSTITUTE(SUBSTITUTE(LEFT(U21,FIND("(",U21)-1),",",""),CHAR(10),"")+0</f>
        <v>19089</v>
      </c>
      <c r="AB21">
        <f>SUBSTITUTE(SUBSTITUTE(LEFT(V21,FIND("(",V21)-1),",",""),CHAR(10),"")+0</f>
        <v>15206</v>
      </c>
      <c r="AC21">
        <f>SUBSTITUTE(SUBSTITUTE(LEFT(W21,FIND("(",W21)-1),",",""),CHAR(10),"")+0</f>
        <v>234</v>
      </c>
      <c r="AD21">
        <f>SUBSTITUTE(SUBSTITUTE(LEFT(X21,FIND("(",X21)-1),",",""),CHAR(10),"")+0</f>
        <v>37</v>
      </c>
      <c r="AE21">
        <f>SUBSTITUTE(SUBSTITUTE(LEFT(Y21,FIND("(",Y21)-1),",",""),CHAR(10),"")+0</f>
        <v>44</v>
      </c>
      <c r="AF21">
        <f>SUBSTITUTE(SUBSTITUTE(LEFT(Z21,FIND("(",Z21)-1),",",""),CHAR(10),"")+0</f>
        <v>290</v>
      </c>
    </row>
    <row r="22" spans="1:32" ht="17.25" thickBot="1">
      <c r="A22" s="2" t="s">
        <v>0</v>
      </c>
      <c r="B22" s="2" t="s">
        <v>1</v>
      </c>
      <c r="C22" s="2" t="s">
        <v>17</v>
      </c>
      <c r="D22" s="2" t="s">
        <v>10</v>
      </c>
      <c r="E22" s="7">
        <v>69217</v>
      </c>
      <c r="F22" s="7">
        <v>31990</v>
      </c>
      <c r="G22" s="7">
        <v>16211</v>
      </c>
      <c r="H22" s="7">
        <v>14804</v>
      </c>
      <c r="I22" s="8">
        <v>295</v>
      </c>
      <c r="J22" s="8">
        <v>55</v>
      </c>
      <c r="K22" s="8">
        <v>70</v>
      </c>
      <c r="L22" s="8">
        <v>235</v>
      </c>
      <c r="M22" s="7">
        <v>31670</v>
      </c>
      <c r="N22" s="8">
        <v>320</v>
      </c>
      <c r="O22" s="7">
        <v>37227</v>
      </c>
      <c r="P22" s="44" t="str">
        <f>C22</f>
        <v>대산동</v>
      </c>
      <c r="Q22" s="53"/>
      <c r="R22" s="53"/>
      <c r="S22" s="54"/>
      <c r="T22" s="30" t="s">
        <v>138</v>
      </c>
      <c r="U22" s="49" t="s">
        <v>136</v>
      </c>
      <c r="V22" s="51"/>
      <c r="W22" s="51"/>
      <c r="X22" s="51"/>
      <c r="Y22" s="51"/>
      <c r="Z22" s="50"/>
    </row>
    <row r="23" spans="1:32" ht="17.25" thickBot="1">
      <c r="A23" s="2" t="s">
        <v>0</v>
      </c>
      <c r="B23" s="2" t="s">
        <v>1</v>
      </c>
      <c r="C23" s="2" t="s">
        <v>17</v>
      </c>
      <c r="D23" s="2" t="s">
        <v>11</v>
      </c>
      <c r="E23" s="7">
        <v>10727</v>
      </c>
      <c r="F23" s="7">
        <v>10724</v>
      </c>
      <c r="G23" s="7">
        <v>5585</v>
      </c>
      <c r="H23" s="7">
        <v>4895</v>
      </c>
      <c r="I23" s="8">
        <v>91</v>
      </c>
      <c r="J23" s="8">
        <v>10</v>
      </c>
      <c r="K23" s="8">
        <v>25</v>
      </c>
      <c r="L23" s="8">
        <v>46</v>
      </c>
      <c r="M23" s="7">
        <v>10652</v>
      </c>
      <c r="N23" s="8">
        <v>72</v>
      </c>
      <c r="O23" s="8">
        <v>3</v>
      </c>
      <c r="P23" s="40" t="str">
        <f>"투표수: "&amp;TEXT((SUM(G22:L22)+N22), "#,##0")</f>
        <v>투표수: 31,990</v>
      </c>
      <c r="Q23" s="42"/>
      <c r="R23" s="18" t="str">
        <f>"유효투표수: "&amp;TEXT(SUM(G22:L22),"#,##0")</f>
        <v>유효투표수: 31,670</v>
      </c>
      <c r="S23" s="16" t="str">
        <f>"무효투표수: "&amp;TEXT(N22, "#,##0")</f>
        <v>무효투표수: 320</v>
      </c>
      <c r="T23" s="47" t="s">
        <v>140</v>
      </c>
      <c r="U23" s="34" t="str">
        <f>G$3</f>
        <v>더불어민주당
김동연</v>
      </c>
      <c r="V23" s="34" t="str">
        <f>H$3</f>
        <v>국민의힘
김은혜</v>
      </c>
      <c r="W23" s="34" t="str">
        <f>I$3</f>
        <v>정의당
황순식</v>
      </c>
      <c r="X23" s="34" t="str">
        <f>J$3</f>
        <v>기본소득당
서태성</v>
      </c>
      <c r="Y23" s="34" t="str">
        <f>K$3</f>
        <v>진보당
송영주</v>
      </c>
      <c r="Z23" s="34" t="str">
        <f>L$3</f>
        <v>무소속
강용석</v>
      </c>
      <c r="AA23" s="63"/>
      <c r="AB23" s="63"/>
      <c r="AC23" s="63"/>
      <c r="AD23" s="63"/>
      <c r="AE23" s="63"/>
      <c r="AF23" s="63"/>
    </row>
    <row r="24" spans="1:32" ht="17.25" thickBot="1">
      <c r="A24" s="2" t="s">
        <v>0</v>
      </c>
      <c r="B24" s="2" t="s">
        <v>1</v>
      </c>
      <c r="C24" s="2" t="s">
        <v>17</v>
      </c>
      <c r="D24" s="2" t="s">
        <v>12</v>
      </c>
      <c r="E24" s="7">
        <v>58490</v>
      </c>
      <c r="F24" s="7">
        <v>21266</v>
      </c>
      <c r="G24" s="7">
        <v>10626</v>
      </c>
      <c r="H24" s="7">
        <v>9909</v>
      </c>
      <c r="I24" s="8">
        <v>204</v>
      </c>
      <c r="J24" s="8">
        <v>45</v>
      </c>
      <c r="K24" s="8">
        <v>45</v>
      </c>
      <c r="L24" s="8">
        <v>189</v>
      </c>
      <c r="M24" s="7">
        <v>21018</v>
      </c>
      <c r="N24" s="8">
        <v>248</v>
      </c>
      <c r="O24" s="7">
        <v>37224</v>
      </c>
      <c r="P24" s="17" t="str">
        <f>"투표율: "&amp;TEXT(((F22/E22)*100), "0.00")&amp;"%"</f>
        <v>투표율: 46.22%</v>
      </c>
      <c r="Q24" s="12" t="str">
        <f>"기권율: "&amp;TEXT(((O22/E22)*100), "0.00")&amp;"%"</f>
        <v>기권율: 53.78%</v>
      </c>
      <c r="R24" s="17" t="str">
        <f>"유효투표율: "&amp;TEXT(((M22/F22)*100), "0.00")&amp;"%"</f>
        <v>유효투표율: 99.00%</v>
      </c>
      <c r="S24" s="12" t="str">
        <f>"무효투표율: "&amp;TEXT(((N22/F22)*100), "0.00")&amp;"%"</f>
        <v>무효투표율: 1.00%</v>
      </c>
      <c r="T24" s="48"/>
      <c r="U24" s="25" t="str">
        <f>TEXT(G22,"#,##0")&amp;CHAR(10)&amp;"("&amp;TEXT((ROUND((G22/(SUM($G22:$L22))*100),2)),"0.00")&amp;"%)"</f>
        <v>16,211
(51.19%)</v>
      </c>
      <c r="V24" s="25" t="str">
        <f>TEXT(H22,"#,##0")&amp;CHAR(10)&amp;"("&amp;TEXT((ROUND((H22/(SUM($G22:$L22))*100),2)),"0.00")&amp;"%)"</f>
        <v>14,804
(46.74%)</v>
      </c>
      <c r="W24" s="25" t="str">
        <f>TEXT(I22,"#,##0")&amp;CHAR(10)&amp;"("&amp;TEXT((ROUND((I22/(SUM($G22:$L22))*100),2)),"0.00")&amp;"%)"</f>
        <v>295
(0.93%)</v>
      </c>
      <c r="X24" s="25" t="str">
        <f>TEXT(J22,"#,##0")&amp;CHAR(10)&amp;"("&amp;TEXT((ROUND((J22/(SUM($G22:$L22))*100),2)),"0.00")&amp;"%)"</f>
        <v>55
(0.17%)</v>
      </c>
      <c r="Y24" s="25" t="str">
        <f>TEXT(K22,"#,##0")&amp;CHAR(10)&amp;"("&amp;TEXT((ROUND((K22/(SUM($G22:$L22))*100),2)),"0.00")&amp;"%)"</f>
        <v>70
(0.22%)</v>
      </c>
      <c r="Z24" s="25" t="str">
        <f>TEXT(L22,"#,##0")&amp;CHAR(10)&amp;"("&amp;TEXT((ROUND((L22/(SUM($G22:$L22))*100),2)),"0.00")&amp;"%)"</f>
        <v>235
(0.74%)</v>
      </c>
      <c r="AA24">
        <f>SUBSTITUTE(SUBSTITUTE(LEFT(U24,FIND("(",U24)-1),",",""),CHAR(10),"")+0</f>
        <v>16211</v>
      </c>
      <c r="AB24">
        <f>SUBSTITUTE(SUBSTITUTE(LEFT(V24,FIND("(",V24)-1),",",""),CHAR(10),"")+0</f>
        <v>14804</v>
      </c>
      <c r="AC24">
        <f>SUBSTITUTE(SUBSTITUTE(LEFT(W24,FIND("(",W24)-1),",",""),CHAR(10),"")+0</f>
        <v>295</v>
      </c>
      <c r="AD24">
        <f>SUBSTITUTE(SUBSTITUTE(LEFT(X24,FIND("(",X24)-1),",",""),CHAR(10),"")+0</f>
        <v>55</v>
      </c>
      <c r="AE24">
        <f>SUBSTITUTE(SUBSTITUTE(LEFT(Y24,FIND("(",Y24)-1),",",""),CHAR(10),"")+0</f>
        <v>70</v>
      </c>
      <c r="AF24">
        <f>SUBSTITUTE(SUBSTITUTE(LEFT(Z24,FIND("(",Z24)-1),",",""),CHAR(10),"")+0</f>
        <v>235</v>
      </c>
    </row>
    <row r="25" spans="1:32" ht="17.25" thickBot="1">
      <c r="A25" s="2" t="s">
        <v>0</v>
      </c>
      <c r="B25" s="2" t="s">
        <v>1</v>
      </c>
      <c r="C25" s="2" t="s">
        <v>18</v>
      </c>
      <c r="D25" s="2" t="s">
        <v>10</v>
      </c>
      <c r="E25" s="7">
        <v>47320</v>
      </c>
      <c r="F25" s="7">
        <v>22440</v>
      </c>
      <c r="G25" s="7">
        <v>11199</v>
      </c>
      <c r="H25" s="7">
        <v>10544</v>
      </c>
      <c r="I25" s="8">
        <v>165</v>
      </c>
      <c r="J25" s="8">
        <v>69</v>
      </c>
      <c r="K25" s="8">
        <v>50</v>
      </c>
      <c r="L25" s="8">
        <v>185</v>
      </c>
      <c r="M25" s="7">
        <v>22212</v>
      </c>
      <c r="N25" s="8">
        <v>228</v>
      </c>
      <c r="O25" s="7">
        <v>24880</v>
      </c>
      <c r="P25" s="44" t="str">
        <f>C25</f>
        <v>소사본동</v>
      </c>
      <c r="Q25" s="53"/>
      <c r="R25" s="53"/>
      <c r="S25" s="54"/>
      <c r="T25" s="30" t="s">
        <v>138</v>
      </c>
      <c r="U25" s="49" t="s">
        <v>136</v>
      </c>
      <c r="V25" s="51"/>
      <c r="W25" s="51"/>
      <c r="X25" s="51"/>
      <c r="Y25" s="51"/>
      <c r="Z25" s="50"/>
    </row>
    <row r="26" spans="1:32" ht="17.25" thickBot="1">
      <c r="A26" s="2" t="s">
        <v>0</v>
      </c>
      <c r="B26" s="2" t="s">
        <v>1</v>
      </c>
      <c r="C26" s="2" t="s">
        <v>18</v>
      </c>
      <c r="D26" s="2" t="s">
        <v>11</v>
      </c>
      <c r="E26" s="7">
        <v>7201</v>
      </c>
      <c r="F26" s="7">
        <v>7192</v>
      </c>
      <c r="G26" s="7">
        <v>3668</v>
      </c>
      <c r="H26" s="7">
        <v>3351</v>
      </c>
      <c r="I26" s="8">
        <v>40</v>
      </c>
      <c r="J26" s="8">
        <v>16</v>
      </c>
      <c r="K26" s="8">
        <v>18</v>
      </c>
      <c r="L26" s="8">
        <v>39</v>
      </c>
      <c r="M26" s="7">
        <v>7132</v>
      </c>
      <c r="N26" s="8">
        <v>60</v>
      </c>
      <c r="O26" s="8">
        <v>9</v>
      </c>
      <c r="P26" s="40" t="str">
        <f>"투표수: "&amp;TEXT((SUM(G25:L25)+N25), "#,##0")</f>
        <v>투표수: 22,440</v>
      </c>
      <c r="Q26" s="42"/>
      <c r="R26" s="18" t="str">
        <f>"유효투표수: "&amp;TEXT(SUM(G25:L25),"#,##0")</f>
        <v>유효투표수: 22,212</v>
      </c>
      <c r="S26" s="16" t="str">
        <f>"무효투표수: "&amp;TEXT(N25, "#,##0")</f>
        <v>무효투표수: 228</v>
      </c>
      <c r="T26" s="47" t="s">
        <v>140</v>
      </c>
      <c r="U26" s="34" t="str">
        <f>G$3</f>
        <v>더불어민주당
김동연</v>
      </c>
      <c r="V26" s="34" t="str">
        <f>H$3</f>
        <v>국민의힘
김은혜</v>
      </c>
      <c r="W26" s="34" t="str">
        <f>I$3</f>
        <v>정의당
황순식</v>
      </c>
      <c r="X26" s="34" t="str">
        <f>J$3</f>
        <v>기본소득당
서태성</v>
      </c>
      <c r="Y26" s="34" t="str">
        <f>K$3</f>
        <v>진보당
송영주</v>
      </c>
      <c r="Z26" s="34" t="str">
        <f>L$3</f>
        <v>무소속
강용석</v>
      </c>
      <c r="AA26" s="63"/>
      <c r="AB26" s="63"/>
      <c r="AC26" s="63"/>
      <c r="AD26" s="63"/>
      <c r="AE26" s="63"/>
      <c r="AF26" s="63"/>
    </row>
    <row r="27" spans="1:32" ht="17.25" thickBot="1">
      <c r="A27" s="2" t="s">
        <v>0</v>
      </c>
      <c r="B27" s="2" t="s">
        <v>1</v>
      </c>
      <c r="C27" s="2" t="s">
        <v>18</v>
      </c>
      <c r="D27" s="2" t="s">
        <v>12</v>
      </c>
      <c r="E27" s="7">
        <v>40119</v>
      </c>
      <c r="F27" s="7">
        <v>15248</v>
      </c>
      <c r="G27" s="7">
        <v>7531</v>
      </c>
      <c r="H27" s="7">
        <v>7193</v>
      </c>
      <c r="I27" s="8">
        <v>125</v>
      </c>
      <c r="J27" s="8">
        <v>53</v>
      </c>
      <c r="K27" s="8">
        <v>32</v>
      </c>
      <c r="L27" s="8">
        <v>146</v>
      </c>
      <c r="M27" s="7">
        <v>15080</v>
      </c>
      <c r="N27" s="8">
        <v>168</v>
      </c>
      <c r="O27" s="7">
        <v>24871</v>
      </c>
      <c r="P27" s="17" t="str">
        <f>"투표율: "&amp;TEXT(((F25/E25)*100), "0.00")&amp;"%"</f>
        <v>투표율: 47.42%</v>
      </c>
      <c r="Q27" s="12" t="str">
        <f>"기권율: "&amp;TEXT(((O25/E25)*100), "0.00")&amp;"%"</f>
        <v>기권율: 52.58%</v>
      </c>
      <c r="R27" s="17" t="str">
        <f>"유효투표율: "&amp;TEXT(((M25/F25)*100), "0.00")&amp;"%"</f>
        <v>유효투표율: 98.98%</v>
      </c>
      <c r="S27" s="12" t="str">
        <f>"무효투표율: "&amp;TEXT(((N25/F25)*100), "0.00")&amp;"%"</f>
        <v>무효투표율: 1.02%</v>
      </c>
      <c r="T27" s="48"/>
      <c r="U27" s="25" t="str">
        <f>TEXT(G25,"#,##0")&amp;CHAR(10)&amp;"("&amp;TEXT((ROUND((G25/(SUM($G25:$L25))*100),2)),"0.00")&amp;"%)"</f>
        <v>11,199
(50.42%)</v>
      </c>
      <c r="V27" s="25" t="str">
        <f>TEXT(H25,"#,##0")&amp;CHAR(10)&amp;"("&amp;TEXT((ROUND((H25/(SUM($G25:$L25))*100),2)),"0.00")&amp;"%)"</f>
        <v>10,544
(47.47%)</v>
      </c>
      <c r="W27" s="25" t="str">
        <f>TEXT(I25,"#,##0")&amp;CHAR(10)&amp;"("&amp;TEXT((ROUND((I25/(SUM($G25:$L25))*100),2)),"0.00")&amp;"%)"</f>
        <v>165
(0.74%)</v>
      </c>
      <c r="X27" s="25" t="str">
        <f>TEXT(J25,"#,##0")&amp;CHAR(10)&amp;"("&amp;TEXT((ROUND((J25/(SUM($G25:$L25))*100),2)),"0.00")&amp;"%)"</f>
        <v>69
(0.31%)</v>
      </c>
      <c r="Y27" s="25" t="str">
        <f>TEXT(K25,"#,##0")&amp;CHAR(10)&amp;"("&amp;TEXT((ROUND((K25/(SUM($G25:$L25))*100),2)),"0.00")&amp;"%)"</f>
        <v>50
(0.23%)</v>
      </c>
      <c r="Z27" s="25" t="str">
        <f>TEXT(L25,"#,##0")&amp;CHAR(10)&amp;"("&amp;TEXT((ROUND((L25/(SUM($G25:$L25))*100),2)),"0.00")&amp;"%)"</f>
        <v>185
(0.83%)</v>
      </c>
      <c r="AA27">
        <f>SUBSTITUTE(SUBSTITUTE(LEFT(U27,FIND("(",U27)-1),",",""),CHAR(10),"")+0</f>
        <v>11199</v>
      </c>
      <c r="AB27">
        <f>SUBSTITUTE(SUBSTITUTE(LEFT(V27,FIND("(",V27)-1),",",""),CHAR(10),"")+0</f>
        <v>10544</v>
      </c>
      <c r="AC27">
        <f>SUBSTITUTE(SUBSTITUTE(LEFT(W27,FIND("(",W27)-1),",",""),CHAR(10),"")+0</f>
        <v>165</v>
      </c>
      <c r="AD27">
        <f>SUBSTITUTE(SUBSTITUTE(LEFT(X27,FIND("(",X27)-1),",",""),CHAR(10),"")+0</f>
        <v>69</v>
      </c>
      <c r="AE27">
        <f>SUBSTITUTE(SUBSTITUTE(LEFT(Y27,FIND("(",Y27)-1),",",""),CHAR(10),"")+0</f>
        <v>50</v>
      </c>
      <c r="AF27">
        <f>SUBSTITUTE(SUBSTITUTE(LEFT(Z27,FIND("(",Z27)-1),",",""),CHAR(10),"")+0</f>
        <v>185</v>
      </c>
    </row>
    <row r="28" spans="1:32" ht="17.25" thickBot="1">
      <c r="A28" s="2" t="s">
        <v>0</v>
      </c>
      <c r="B28" s="2" t="s">
        <v>1</v>
      </c>
      <c r="C28" s="2" t="s">
        <v>19</v>
      </c>
      <c r="D28" s="2" t="s">
        <v>10</v>
      </c>
      <c r="E28" s="7">
        <v>73698</v>
      </c>
      <c r="F28" s="7">
        <v>37425</v>
      </c>
      <c r="G28" s="7">
        <v>20428</v>
      </c>
      <c r="H28" s="7">
        <v>16000</v>
      </c>
      <c r="I28" s="8">
        <v>272</v>
      </c>
      <c r="J28" s="8">
        <v>52</v>
      </c>
      <c r="K28" s="8">
        <v>55</v>
      </c>
      <c r="L28" s="8">
        <v>303</v>
      </c>
      <c r="M28" s="7">
        <v>37110</v>
      </c>
      <c r="N28" s="8">
        <v>315</v>
      </c>
      <c r="O28" s="7">
        <v>36273</v>
      </c>
      <c r="P28" s="44" t="str">
        <f>C28</f>
        <v>범안동</v>
      </c>
      <c r="Q28" s="53"/>
      <c r="R28" s="53"/>
      <c r="S28" s="54"/>
      <c r="T28" s="30" t="s">
        <v>138</v>
      </c>
      <c r="U28" s="49" t="s">
        <v>136</v>
      </c>
      <c r="V28" s="51"/>
      <c r="W28" s="51"/>
      <c r="X28" s="51"/>
      <c r="Y28" s="51"/>
      <c r="Z28" s="50"/>
    </row>
    <row r="29" spans="1:32" ht="17.25" thickBot="1">
      <c r="A29" s="2" t="s">
        <v>0</v>
      </c>
      <c r="B29" s="2" t="s">
        <v>1</v>
      </c>
      <c r="C29" s="2" t="s">
        <v>19</v>
      </c>
      <c r="D29" s="2" t="s">
        <v>11</v>
      </c>
      <c r="E29" s="7">
        <v>10306</v>
      </c>
      <c r="F29" s="7">
        <v>10303</v>
      </c>
      <c r="G29" s="7">
        <v>5681</v>
      </c>
      <c r="H29" s="7">
        <v>4421</v>
      </c>
      <c r="I29" s="8">
        <v>56</v>
      </c>
      <c r="J29" s="8">
        <v>16</v>
      </c>
      <c r="K29" s="8">
        <v>14</v>
      </c>
      <c r="L29" s="8">
        <v>56</v>
      </c>
      <c r="M29" s="7">
        <v>10244</v>
      </c>
      <c r="N29" s="8">
        <v>59</v>
      </c>
      <c r="O29" s="8">
        <v>3</v>
      </c>
      <c r="P29" s="40" t="str">
        <f>"투표수: "&amp;TEXT((SUM(G28:L28)+N28), "#,##0")</f>
        <v>투표수: 37,425</v>
      </c>
      <c r="Q29" s="42"/>
      <c r="R29" s="18" t="str">
        <f>"유효투표수: "&amp;TEXT(SUM(G28:L28),"#,##0")</f>
        <v>유효투표수: 37,110</v>
      </c>
      <c r="S29" s="16" t="str">
        <f>"무효투표수: "&amp;TEXT(N28, "#,##0")</f>
        <v>무효투표수: 315</v>
      </c>
      <c r="T29" s="47" t="s">
        <v>140</v>
      </c>
      <c r="U29" s="34" t="str">
        <f>G$3</f>
        <v>더불어민주당
김동연</v>
      </c>
      <c r="V29" s="34" t="str">
        <f>H$3</f>
        <v>국민의힘
김은혜</v>
      </c>
      <c r="W29" s="34" t="str">
        <f>I$3</f>
        <v>정의당
황순식</v>
      </c>
      <c r="X29" s="34" t="str">
        <f>J$3</f>
        <v>기본소득당
서태성</v>
      </c>
      <c r="Y29" s="34" t="str">
        <f>K$3</f>
        <v>진보당
송영주</v>
      </c>
      <c r="Z29" s="34" t="str">
        <f>L$3</f>
        <v>무소속
강용석</v>
      </c>
      <c r="AA29" s="63"/>
      <c r="AB29" s="63"/>
      <c r="AC29" s="63"/>
      <c r="AD29" s="63"/>
      <c r="AE29" s="63"/>
      <c r="AF29" s="63"/>
    </row>
    <row r="30" spans="1:32" ht="17.25" thickBot="1">
      <c r="A30" s="2" t="s">
        <v>0</v>
      </c>
      <c r="B30" s="2" t="s">
        <v>1</v>
      </c>
      <c r="C30" s="2" t="s">
        <v>19</v>
      </c>
      <c r="D30" s="2" t="s">
        <v>12</v>
      </c>
      <c r="E30" s="7">
        <v>63392</v>
      </c>
      <c r="F30" s="7">
        <v>27122</v>
      </c>
      <c r="G30" s="7">
        <v>14747</v>
      </c>
      <c r="H30" s="7">
        <v>11579</v>
      </c>
      <c r="I30" s="8">
        <v>216</v>
      </c>
      <c r="J30" s="8">
        <v>36</v>
      </c>
      <c r="K30" s="8">
        <v>41</v>
      </c>
      <c r="L30" s="8">
        <v>247</v>
      </c>
      <c r="M30" s="7">
        <v>26866</v>
      </c>
      <c r="N30" s="8">
        <v>256</v>
      </c>
      <c r="O30" s="7">
        <v>36270</v>
      </c>
      <c r="P30" s="17" t="str">
        <f>"투표율: "&amp;TEXT(((F28/E28)*100), "0.00")&amp;"%"</f>
        <v>투표율: 50.78%</v>
      </c>
      <c r="Q30" s="12" t="str">
        <f>"기권율: "&amp;TEXT(((O28/E28)*100), "0.00")&amp;"%"</f>
        <v>기권율: 49.22%</v>
      </c>
      <c r="R30" s="17" t="str">
        <f>"유효투표율: "&amp;TEXT(((M28/F28)*100), "0.00")&amp;"%"</f>
        <v>유효투표율: 99.16%</v>
      </c>
      <c r="S30" s="12" t="str">
        <f>"무효투표율: "&amp;TEXT(((N28/F28)*100), "0.00")&amp;"%"</f>
        <v>무효투표율: 0.84%</v>
      </c>
      <c r="T30" s="48"/>
      <c r="U30" s="25" t="str">
        <f>TEXT(G28,"#,##0")&amp;CHAR(10)&amp;"("&amp;TEXT((ROUND((G28/(SUM($G28:$L28))*100),2)),"0.00")&amp;"%)"</f>
        <v>20,428
(55.05%)</v>
      </c>
      <c r="V30" s="25" t="str">
        <f>TEXT(H28,"#,##0")&amp;CHAR(10)&amp;"("&amp;TEXT((ROUND((H28/(SUM($G28:$L28))*100),2)),"0.00")&amp;"%)"</f>
        <v>16,000
(43.12%)</v>
      </c>
      <c r="W30" s="25" t="str">
        <f>TEXT(I28,"#,##0")&amp;CHAR(10)&amp;"("&amp;TEXT((ROUND((I28/(SUM($G28:$L28))*100),2)),"0.00")&amp;"%)"</f>
        <v>272
(0.73%)</v>
      </c>
      <c r="X30" s="25" t="str">
        <f>TEXT(J28,"#,##0")&amp;CHAR(10)&amp;"("&amp;TEXT((ROUND((J28/(SUM($G28:$L28))*100),2)),"0.00")&amp;"%)"</f>
        <v>52
(0.14%)</v>
      </c>
      <c r="Y30" s="25" t="str">
        <f>TEXT(K28,"#,##0")&amp;CHAR(10)&amp;"("&amp;TEXT((ROUND((K28/(SUM($G28:$L28))*100),2)),"0.00")&amp;"%)"</f>
        <v>55
(0.15%)</v>
      </c>
      <c r="Z30" s="25" t="str">
        <f>TEXT(L28,"#,##0")&amp;CHAR(10)&amp;"("&amp;TEXT((ROUND((L28/(SUM($G28:$L28))*100),2)),"0.00")&amp;"%)"</f>
        <v>303
(0.82%)</v>
      </c>
      <c r="AA30">
        <f>SUBSTITUTE(SUBSTITUTE(LEFT(U30,FIND("(",U30)-1),",",""),CHAR(10),"")+0</f>
        <v>20428</v>
      </c>
      <c r="AB30">
        <f>SUBSTITUTE(SUBSTITUTE(LEFT(V30,FIND("(",V30)-1),",",""),CHAR(10),"")+0</f>
        <v>16000</v>
      </c>
      <c r="AC30">
        <f>SUBSTITUTE(SUBSTITUTE(LEFT(W30,FIND("(",W30)-1),",",""),CHAR(10),"")+0</f>
        <v>272</v>
      </c>
      <c r="AD30">
        <f>SUBSTITUTE(SUBSTITUTE(LEFT(X30,FIND("(",X30)-1),",",""),CHAR(10),"")+0</f>
        <v>52</v>
      </c>
      <c r="AE30">
        <f>SUBSTITUTE(SUBSTITUTE(LEFT(Y30,FIND("(",Y30)-1),",",""),CHAR(10),"")+0</f>
        <v>55</v>
      </c>
      <c r="AF30">
        <f>SUBSTITUTE(SUBSTITUTE(LEFT(Z30,FIND("(",Z30)-1),",",""),CHAR(10),"")+0</f>
        <v>303</v>
      </c>
    </row>
    <row r="31" spans="1:32" ht="17.25" thickBot="1">
      <c r="A31" s="2" t="s">
        <v>0</v>
      </c>
      <c r="B31" s="2" t="s">
        <v>1</v>
      </c>
      <c r="C31" s="2" t="s">
        <v>20</v>
      </c>
      <c r="D31" s="2" t="s">
        <v>10</v>
      </c>
      <c r="E31" s="7">
        <v>69725</v>
      </c>
      <c r="F31" s="7">
        <v>29824</v>
      </c>
      <c r="G31" s="7">
        <v>15850</v>
      </c>
      <c r="H31" s="7">
        <v>13024</v>
      </c>
      <c r="I31" s="8">
        <v>254</v>
      </c>
      <c r="J31" s="8">
        <v>61</v>
      </c>
      <c r="K31" s="8">
        <v>76</v>
      </c>
      <c r="L31" s="8">
        <v>228</v>
      </c>
      <c r="M31" s="7">
        <v>29493</v>
      </c>
      <c r="N31" s="8">
        <v>331</v>
      </c>
      <c r="O31" s="7">
        <v>39901</v>
      </c>
      <c r="P31" s="44" t="str">
        <f>C31</f>
        <v>성곡동</v>
      </c>
      <c r="Q31" s="53"/>
      <c r="R31" s="53"/>
      <c r="S31" s="54"/>
      <c r="T31" s="30" t="s">
        <v>138</v>
      </c>
      <c r="U31" s="49" t="s">
        <v>136</v>
      </c>
      <c r="V31" s="51"/>
      <c r="W31" s="51"/>
      <c r="X31" s="51"/>
      <c r="Y31" s="51"/>
      <c r="Z31" s="50"/>
    </row>
    <row r="32" spans="1:32" ht="17.25" thickBot="1">
      <c r="A32" s="2" t="s">
        <v>0</v>
      </c>
      <c r="B32" s="2" t="s">
        <v>1</v>
      </c>
      <c r="C32" s="2" t="s">
        <v>20</v>
      </c>
      <c r="D32" s="2" t="s">
        <v>11</v>
      </c>
      <c r="E32" s="7">
        <v>9420</v>
      </c>
      <c r="F32" s="7">
        <v>9416</v>
      </c>
      <c r="G32" s="7">
        <v>5194</v>
      </c>
      <c r="H32" s="7">
        <v>3986</v>
      </c>
      <c r="I32" s="8">
        <v>64</v>
      </c>
      <c r="J32" s="8">
        <v>16</v>
      </c>
      <c r="K32" s="8">
        <v>26</v>
      </c>
      <c r="L32" s="8">
        <v>49</v>
      </c>
      <c r="M32" s="7">
        <v>9335</v>
      </c>
      <c r="N32" s="8">
        <v>81</v>
      </c>
      <c r="O32" s="8">
        <v>4</v>
      </c>
      <c r="P32" s="40" t="str">
        <f>"투표수: "&amp;TEXT((SUM(G31:L31)+N31), "#,##0")</f>
        <v>투표수: 29,824</v>
      </c>
      <c r="Q32" s="42"/>
      <c r="R32" s="18" t="str">
        <f>"유효투표수: "&amp;TEXT(SUM(G31:L31),"#,##0")</f>
        <v>유효투표수: 29,493</v>
      </c>
      <c r="S32" s="16" t="str">
        <f>"무효투표수: "&amp;TEXT(N31, "#,##0")</f>
        <v>무효투표수: 331</v>
      </c>
      <c r="T32" s="47" t="s">
        <v>141</v>
      </c>
      <c r="U32" s="34" t="str">
        <f>G$3</f>
        <v>더불어민주당
김동연</v>
      </c>
      <c r="V32" s="34" t="str">
        <f>H$3</f>
        <v>국민의힘
김은혜</v>
      </c>
      <c r="W32" s="34" t="str">
        <f>I$3</f>
        <v>정의당
황순식</v>
      </c>
      <c r="X32" s="34" t="str">
        <f>J$3</f>
        <v>기본소득당
서태성</v>
      </c>
      <c r="Y32" s="34" t="str">
        <f>K$3</f>
        <v>진보당
송영주</v>
      </c>
      <c r="Z32" s="34" t="str">
        <f>L$3</f>
        <v>무소속
강용석</v>
      </c>
      <c r="AA32" s="63"/>
      <c r="AB32" s="63"/>
      <c r="AC32" s="63"/>
      <c r="AD32" s="63"/>
      <c r="AE32" s="63"/>
      <c r="AF32" s="63"/>
    </row>
    <row r="33" spans="1:32" ht="17.25" thickBot="1">
      <c r="A33" s="2" t="s">
        <v>0</v>
      </c>
      <c r="B33" s="2" t="s">
        <v>1</v>
      </c>
      <c r="C33" s="2" t="s">
        <v>20</v>
      </c>
      <c r="D33" s="2" t="s">
        <v>12</v>
      </c>
      <c r="E33" s="7">
        <v>60305</v>
      </c>
      <c r="F33" s="7">
        <v>20408</v>
      </c>
      <c r="G33" s="7">
        <v>10656</v>
      </c>
      <c r="H33" s="7">
        <v>9038</v>
      </c>
      <c r="I33" s="8">
        <v>190</v>
      </c>
      <c r="J33" s="8">
        <v>45</v>
      </c>
      <c r="K33" s="8">
        <v>50</v>
      </c>
      <c r="L33" s="8">
        <v>179</v>
      </c>
      <c r="M33" s="7">
        <v>20158</v>
      </c>
      <c r="N33" s="8">
        <v>250</v>
      </c>
      <c r="O33" s="7">
        <v>39897</v>
      </c>
      <c r="P33" s="17" t="str">
        <f>"투표율: "&amp;TEXT(((F31/E31)*100), "0.00")&amp;"%"</f>
        <v>투표율: 42.77%</v>
      </c>
      <c r="Q33" s="12" t="str">
        <f>"기권율: "&amp;TEXT(((O31/E31)*100), "0.00")&amp;"%"</f>
        <v>기권율: 57.23%</v>
      </c>
      <c r="R33" s="17" t="str">
        <f>"유효투표율: "&amp;TEXT(((M31/F31)*100), "0.00")&amp;"%"</f>
        <v>유효투표율: 98.89%</v>
      </c>
      <c r="S33" s="12" t="str">
        <f>"무효투표율: "&amp;TEXT(((N31/F31)*100), "0.00")&amp;"%"</f>
        <v>무효투표율: 1.11%</v>
      </c>
      <c r="T33" s="48"/>
      <c r="U33" s="25" t="str">
        <f>TEXT(G31,"#,##0")&amp;CHAR(10)&amp;"("&amp;TEXT((ROUND((G31/(SUM($G31:$L31))*100),2)),"0.00")&amp;"%)"</f>
        <v>15,850
(53.74%)</v>
      </c>
      <c r="V33" s="25" t="str">
        <f>TEXT(H31,"#,##0")&amp;CHAR(10)&amp;"("&amp;TEXT((ROUND((H31/(SUM($G31:$L31))*100),2)),"0.00")&amp;"%)"</f>
        <v>13,024
(44.16%)</v>
      </c>
      <c r="W33" s="25" t="str">
        <f>TEXT(I31,"#,##0")&amp;CHAR(10)&amp;"("&amp;TEXT((ROUND((I31/(SUM($G31:$L31))*100),2)),"0.00")&amp;"%)"</f>
        <v>254
(0.86%)</v>
      </c>
      <c r="X33" s="25" t="str">
        <f>TEXT(J31,"#,##0")&amp;CHAR(10)&amp;"("&amp;TEXT((ROUND((J31/(SUM($G31:$L31))*100),2)),"0.00")&amp;"%)"</f>
        <v>61
(0.21%)</v>
      </c>
      <c r="Y33" s="25" t="str">
        <f>TEXT(K31,"#,##0")&amp;CHAR(10)&amp;"("&amp;TEXT((ROUND((K31/(SUM($G31:$L31))*100),2)),"0.00")&amp;"%)"</f>
        <v>76
(0.26%)</v>
      </c>
      <c r="Z33" s="25" t="str">
        <f>TEXT(L31,"#,##0")&amp;CHAR(10)&amp;"("&amp;TEXT((ROUND((L31/(SUM($G31:$L31))*100),2)),"0.00")&amp;"%)"</f>
        <v>228
(0.77%)</v>
      </c>
      <c r="AA33">
        <f>SUBSTITUTE(SUBSTITUTE(LEFT(U33,FIND("(",U33)-1),",",""),CHAR(10),"")+0</f>
        <v>15850</v>
      </c>
      <c r="AB33">
        <f>SUBSTITUTE(SUBSTITUTE(LEFT(V33,FIND("(",V33)-1),",",""),CHAR(10),"")+0</f>
        <v>13024</v>
      </c>
      <c r="AC33">
        <f>SUBSTITUTE(SUBSTITUTE(LEFT(W33,FIND("(",W33)-1),",",""),CHAR(10),"")+0</f>
        <v>254</v>
      </c>
      <c r="AD33">
        <f>SUBSTITUTE(SUBSTITUTE(LEFT(X33,FIND("(",X33)-1),",",""),CHAR(10),"")+0</f>
        <v>61</v>
      </c>
      <c r="AE33">
        <f>SUBSTITUTE(SUBSTITUTE(LEFT(Y33,FIND("(",Y33)-1),",",""),CHAR(10),"")+0</f>
        <v>76</v>
      </c>
      <c r="AF33">
        <f>SUBSTITUTE(SUBSTITUTE(LEFT(Z33,FIND("(",Z33)-1),",",""),CHAR(10),"")+0</f>
        <v>228</v>
      </c>
    </row>
    <row r="34" spans="1:32" ht="17.25" thickBot="1">
      <c r="A34" s="2" t="s">
        <v>0</v>
      </c>
      <c r="B34" s="2" t="s">
        <v>1</v>
      </c>
      <c r="C34" s="2" t="s">
        <v>21</v>
      </c>
      <c r="D34" s="2" t="s">
        <v>10</v>
      </c>
      <c r="E34" s="7">
        <v>69052</v>
      </c>
      <c r="F34" s="7">
        <v>28216</v>
      </c>
      <c r="G34" s="7">
        <v>14663</v>
      </c>
      <c r="H34" s="7">
        <v>12669</v>
      </c>
      <c r="I34" s="8">
        <v>191</v>
      </c>
      <c r="J34" s="8">
        <v>43</v>
      </c>
      <c r="K34" s="8">
        <v>69</v>
      </c>
      <c r="L34" s="8">
        <v>222</v>
      </c>
      <c r="M34" s="7">
        <v>27857</v>
      </c>
      <c r="N34" s="8">
        <v>359</v>
      </c>
      <c r="O34" s="7">
        <v>40836</v>
      </c>
      <c r="P34" s="44" t="str">
        <f>C34</f>
        <v>오정동</v>
      </c>
      <c r="Q34" s="53"/>
      <c r="R34" s="53"/>
      <c r="S34" s="54"/>
      <c r="T34" s="30" t="s">
        <v>138</v>
      </c>
      <c r="U34" s="49" t="s">
        <v>136</v>
      </c>
      <c r="V34" s="51"/>
      <c r="W34" s="51"/>
      <c r="X34" s="51"/>
      <c r="Y34" s="51"/>
      <c r="Z34" s="50"/>
    </row>
    <row r="35" spans="1:32" ht="17.25" thickBot="1">
      <c r="A35" s="2" t="s">
        <v>0</v>
      </c>
      <c r="B35" s="2" t="s">
        <v>1</v>
      </c>
      <c r="C35" s="2" t="s">
        <v>21</v>
      </c>
      <c r="D35" s="2" t="s">
        <v>11</v>
      </c>
      <c r="E35" s="7">
        <v>7478</v>
      </c>
      <c r="F35" s="7">
        <v>7468</v>
      </c>
      <c r="G35" s="7">
        <v>4035</v>
      </c>
      <c r="H35" s="7">
        <v>3262</v>
      </c>
      <c r="I35" s="8">
        <v>40</v>
      </c>
      <c r="J35" s="8">
        <v>7</v>
      </c>
      <c r="K35" s="8">
        <v>19</v>
      </c>
      <c r="L35" s="8">
        <v>45</v>
      </c>
      <c r="M35" s="7">
        <v>7408</v>
      </c>
      <c r="N35" s="8">
        <v>60</v>
      </c>
      <c r="O35" s="8">
        <v>10</v>
      </c>
      <c r="P35" s="40" t="str">
        <f>"투표수: "&amp;TEXT((SUM(G34:L34)+N34), "#,##0")</f>
        <v>투표수: 28,216</v>
      </c>
      <c r="Q35" s="42"/>
      <c r="R35" s="18" t="str">
        <f>"유효투표수: "&amp;TEXT(SUM(G34:L34),"#,##0")</f>
        <v>유효투표수: 27,857</v>
      </c>
      <c r="S35" s="16" t="str">
        <f>"무효투표수: "&amp;TEXT(N34, "#,##0")</f>
        <v>무효투표수: 359</v>
      </c>
      <c r="T35" s="47" t="s">
        <v>141</v>
      </c>
      <c r="U35" s="34" t="str">
        <f>G$3</f>
        <v>더불어민주당
김동연</v>
      </c>
      <c r="V35" s="34" t="str">
        <f>H$3</f>
        <v>국민의힘
김은혜</v>
      </c>
      <c r="W35" s="34" t="str">
        <f>I$3</f>
        <v>정의당
황순식</v>
      </c>
      <c r="X35" s="34" t="str">
        <f>J$3</f>
        <v>기본소득당
서태성</v>
      </c>
      <c r="Y35" s="34" t="str">
        <f>K$3</f>
        <v>진보당
송영주</v>
      </c>
      <c r="Z35" s="34" t="str">
        <f>L$3</f>
        <v>무소속
강용석</v>
      </c>
      <c r="AA35" s="63"/>
      <c r="AB35" s="63"/>
      <c r="AC35" s="63"/>
      <c r="AD35" s="63"/>
      <c r="AE35" s="63"/>
      <c r="AF35" s="63"/>
    </row>
    <row r="36" spans="1:32" ht="17.25" thickBot="1">
      <c r="A36" s="2" t="s">
        <v>0</v>
      </c>
      <c r="B36" s="2" t="s">
        <v>1</v>
      </c>
      <c r="C36" s="2" t="s">
        <v>21</v>
      </c>
      <c r="D36" s="2" t="s">
        <v>12</v>
      </c>
      <c r="E36" s="7">
        <v>61574</v>
      </c>
      <c r="F36" s="7">
        <v>20748</v>
      </c>
      <c r="G36" s="7">
        <v>10628</v>
      </c>
      <c r="H36" s="7">
        <v>9407</v>
      </c>
      <c r="I36" s="8">
        <v>151</v>
      </c>
      <c r="J36" s="8">
        <v>36</v>
      </c>
      <c r="K36" s="8">
        <v>50</v>
      </c>
      <c r="L36" s="8">
        <v>177</v>
      </c>
      <c r="M36" s="7">
        <v>20449</v>
      </c>
      <c r="N36" s="8">
        <v>299</v>
      </c>
      <c r="O36" s="7">
        <v>40826</v>
      </c>
      <c r="P36" s="17" t="str">
        <f>"투표율: "&amp;TEXT(((F34/E34)*100), "0.00")&amp;"%"</f>
        <v>투표율: 40.86%</v>
      </c>
      <c r="Q36" s="12" t="str">
        <f>"기권율: "&amp;TEXT(((O34/E34)*100), "0.00")&amp;"%"</f>
        <v>기권율: 59.14%</v>
      </c>
      <c r="R36" s="17" t="str">
        <f>"유효투표율: "&amp;TEXT(((M34/F34)*100), "0.00")&amp;"%"</f>
        <v>유효투표율: 98.73%</v>
      </c>
      <c r="S36" s="12" t="str">
        <f>"무효투표율: "&amp;TEXT(((N34/F34)*100), "0.00")&amp;"%"</f>
        <v>무효투표율: 1.27%</v>
      </c>
      <c r="T36" s="48"/>
      <c r="U36" s="25" t="str">
        <f>TEXT(G34,"#,##0")&amp;CHAR(10)&amp;"("&amp;TEXT((ROUND((G34/(SUM($G34:$L34))*100),2)),"0.00")&amp;"%)"</f>
        <v>14,663
(52.64%)</v>
      </c>
      <c r="V36" s="25" t="str">
        <f>TEXT(H34,"#,##0")&amp;CHAR(10)&amp;"("&amp;TEXT((ROUND((H34/(SUM($G34:$L34))*100),2)),"0.00")&amp;"%)"</f>
        <v>12,669
(45.48%)</v>
      </c>
      <c r="W36" s="25" t="str">
        <f>TEXT(I34,"#,##0")&amp;CHAR(10)&amp;"("&amp;TEXT((ROUND((I34/(SUM($G34:$L34))*100),2)),"0.00")&amp;"%)"</f>
        <v>191
(0.69%)</v>
      </c>
      <c r="X36" s="25" t="str">
        <f>TEXT(J34,"#,##0")&amp;CHAR(10)&amp;"("&amp;TEXT((ROUND((J34/(SUM($G34:$L34))*100),2)),"0.00")&amp;"%)"</f>
        <v>43
(0.15%)</v>
      </c>
      <c r="Y36" s="25" t="str">
        <f>TEXT(K34,"#,##0")&amp;CHAR(10)&amp;"("&amp;TEXT((ROUND((K34/(SUM($G34:$L34))*100),2)),"0.00")&amp;"%)"</f>
        <v>69
(0.25%)</v>
      </c>
      <c r="Z36" s="25" t="str">
        <f>TEXT(L34,"#,##0")&amp;CHAR(10)&amp;"("&amp;TEXT((ROUND((L34/(SUM($G34:$L34))*100),2)),"0.00")&amp;"%)"</f>
        <v>222
(0.80%)</v>
      </c>
      <c r="AA36">
        <f>SUBSTITUTE(SUBSTITUTE(LEFT(U36,FIND("(",U36)-1),",",""),CHAR(10),"")+0</f>
        <v>14663</v>
      </c>
      <c r="AB36">
        <f>SUBSTITUTE(SUBSTITUTE(LEFT(V36,FIND("(",V36)-1),",",""),CHAR(10),"")+0</f>
        <v>12669</v>
      </c>
      <c r="AC36">
        <f>SUBSTITUTE(SUBSTITUTE(LEFT(W36,FIND("(",W36)-1),",",""),CHAR(10),"")+0</f>
        <v>191</v>
      </c>
      <c r="AD36">
        <f>SUBSTITUTE(SUBSTITUTE(LEFT(X36,FIND("(",X36)-1),",",""),CHAR(10),"")+0</f>
        <v>43</v>
      </c>
      <c r="AE36">
        <f>SUBSTITUTE(SUBSTITUTE(LEFT(Y36,FIND("(",Y36)-1),",",""),CHAR(10),"")+0</f>
        <v>69</v>
      </c>
      <c r="AF36">
        <f>SUBSTITUTE(SUBSTITUTE(LEFT(Z36,FIND("(",Z36)-1),",",""),CHAR(10),"")+0</f>
        <v>222</v>
      </c>
    </row>
    <row r="37" spans="1:32" ht="17.25" thickBot="1">
      <c r="A37" s="2" t="s">
        <v>0</v>
      </c>
      <c r="B37" s="2" t="s">
        <v>1</v>
      </c>
      <c r="C37" s="2" t="s">
        <v>22</v>
      </c>
      <c r="D37" s="2" t="s">
        <v>2</v>
      </c>
      <c r="E37" s="8">
        <v>0</v>
      </c>
      <c r="F37" s="8">
        <v>171</v>
      </c>
      <c r="G37" s="8">
        <v>86</v>
      </c>
      <c r="H37" s="8">
        <v>77</v>
      </c>
      <c r="I37" s="8">
        <v>0</v>
      </c>
      <c r="J37" s="8">
        <v>0</v>
      </c>
      <c r="K37" s="8">
        <v>1</v>
      </c>
      <c r="L37" s="8">
        <v>2</v>
      </c>
      <c r="M37" s="8">
        <v>166</v>
      </c>
      <c r="N37" s="8">
        <v>5</v>
      </c>
      <c r="O37" s="8">
        <v>-171</v>
      </c>
    </row>
    <row r="38" spans="1:32" ht="17.25" thickBot="1">
      <c r="P38" s="13" t="s">
        <v>143</v>
      </c>
      <c r="Q38" s="14" t="s">
        <v>145</v>
      </c>
      <c r="R38" s="19" t="s">
        <v>147</v>
      </c>
    </row>
    <row r="39" spans="1:32" ht="17.25" thickBot="1">
      <c r="P39" s="31" t="str">
        <f>TEXT(((N34+N31)/(M34+M31))*100, "0.00")&amp;"%"</f>
        <v>1.20%</v>
      </c>
      <c r="Q39" s="32" t="str">
        <f>TEXT(((N19+N16+N13)/(M19+M16+M13))*100, "0.00")&amp;"%"</f>
        <v>0.76%</v>
      </c>
      <c r="R39" s="33" t="str">
        <f>TEXT(((N28+N25+N22)/(M28+M25+M22))*100, "0.00")&amp;"%"</f>
        <v>0.95%</v>
      </c>
    </row>
    <row r="41" spans="1:32" ht="17.25" thickBot="1"/>
    <row r="42" spans="1:32" ht="17.25" thickBot="1">
      <c r="P42" s="58" t="s">
        <v>194</v>
      </c>
      <c r="Q42" s="59"/>
      <c r="R42" s="60"/>
    </row>
    <row r="43" spans="1:32" ht="17.25" thickBot="1">
      <c r="P43" s="13" t="s">
        <v>141</v>
      </c>
      <c r="Q43" s="14" t="s">
        <v>139</v>
      </c>
      <c r="R43" s="19" t="s">
        <v>140</v>
      </c>
    </row>
    <row r="44" spans="1:32" ht="17.25" thickBot="1">
      <c r="P44" s="61">
        <f>(AA36+AA33)/(SUM(AA36:AF36,AA33:AF33))</f>
        <v>0.53204882301656498</v>
      </c>
      <c r="Q44" s="61">
        <f>(AA15+AA18+AA21)/(SUM(AA21:AF21,AA18:AF18,AA15:AF15))</f>
        <v>0.51750370072642071</v>
      </c>
      <c r="R44" s="62">
        <f>(AA30+AA27+AA24)/(SUM(AA30:AF30,AA27:AF27,AA24:AF24))</f>
        <v>0.52573852646386499</v>
      </c>
    </row>
    <row r="45" spans="1:32" ht="17.25" thickBot="1"/>
    <row r="46" spans="1:32" ht="17.25" thickBot="1">
      <c r="P46" s="58" t="s">
        <v>198</v>
      </c>
      <c r="Q46" s="59"/>
      <c r="R46" s="60"/>
    </row>
    <row r="47" spans="1:32" ht="17.25" thickBot="1">
      <c r="P47" s="66" t="s">
        <v>141</v>
      </c>
      <c r="Q47" s="67" t="s">
        <v>139</v>
      </c>
      <c r="R47" s="71" t="s">
        <v>140</v>
      </c>
    </row>
    <row r="48" spans="1:32" ht="17.25" thickBot="1">
      <c r="P48" s="86">
        <f>(AB36+AB33)/(SUM(AA36:AF36,AA33:AF33))</f>
        <v>0.44800348735832607</v>
      </c>
      <c r="Q48" s="86">
        <f>(AB21+AB18+AB15)/(SUM(AA21:AF21,AA18:AF18,AA15:AF15))</f>
        <v>0.4646641897124707</v>
      </c>
      <c r="R48" s="87">
        <f>(AB30+AB27+AB24)/(SUM(AA30:AF30,AA27:AF27,AA24:AF24))</f>
        <v>0.45441357481976435</v>
      </c>
    </row>
  </sheetData>
  <mergeCells count="56">
    <mergeCell ref="P42:R42"/>
    <mergeCell ref="P46:R46"/>
    <mergeCell ref="P23:Q23"/>
    <mergeCell ref="T23:T24"/>
    <mergeCell ref="P25:S25"/>
    <mergeCell ref="U25:Z25"/>
    <mergeCell ref="P26:Q26"/>
    <mergeCell ref="T26:T27"/>
    <mergeCell ref="P34:S34"/>
    <mergeCell ref="U34:Z34"/>
    <mergeCell ref="P35:Q35"/>
    <mergeCell ref="T35:T36"/>
    <mergeCell ref="P28:S28"/>
    <mergeCell ref="U28:Z28"/>
    <mergeCell ref="P29:Q29"/>
    <mergeCell ref="T29:T30"/>
    <mergeCell ref="P31:S31"/>
    <mergeCell ref="U31:Z31"/>
    <mergeCell ref="P32:Q32"/>
    <mergeCell ref="T32:T33"/>
    <mergeCell ref="P22:S22"/>
    <mergeCell ref="U22:Z22"/>
    <mergeCell ref="P14:Q14"/>
    <mergeCell ref="T14:T15"/>
    <mergeCell ref="P16:S16"/>
    <mergeCell ref="U16:Z16"/>
    <mergeCell ref="P17:Q17"/>
    <mergeCell ref="T17:T18"/>
    <mergeCell ref="P19:S19"/>
    <mergeCell ref="U19:Z19"/>
    <mergeCell ref="P20:Q20"/>
    <mergeCell ref="T20:T21"/>
    <mergeCell ref="P10:S10"/>
    <mergeCell ref="U10:Z10"/>
    <mergeCell ref="P11:Q11"/>
    <mergeCell ref="T11:T12"/>
    <mergeCell ref="P13:S13"/>
    <mergeCell ref="U13:Z13"/>
    <mergeCell ref="P7:S7"/>
    <mergeCell ref="P8:Q8"/>
    <mergeCell ref="T8:T9"/>
    <mergeCell ref="U7:Z7"/>
    <mergeCell ref="M1:M2"/>
    <mergeCell ref="N1:N2"/>
    <mergeCell ref="O1:O2"/>
    <mergeCell ref="P4:S4"/>
    <mergeCell ref="U4:Z4"/>
    <mergeCell ref="P5:Q5"/>
    <mergeCell ref="T5:T6"/>
    <mergeCell ref="A1:A2"/>
    <mergeCell ref="B1:B2"/>
    <mergeCell ref="C1:C2"/>
    <mergeCell ref="D1:D2"/>
    <mergeCell ref="G1:L1"/>
    <mergeCell ref="E1:E2"/>
    <mergeCell ref="F1:F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7749-9E3C-4E04-B6D6-530FF997F505}">
  <dimension ref="A1:AD94"/>
  <sheetViews>
    <sheetView topLeftCell="A42" zoomScale="55" zoomScaleNormal="55" workbookViewId="0">
      <selection activeCell="P7" sqref="P7:Y81"/>
    </sheetView>
  </sheetViews>
  <sheetFormatPr defaultRowHeight="16.5"/>
  <cols>
    <col min="1" max="2" width="6.375" bestFit="1" customWidth="1"/>
    <col min="3" max="3" width="13.125" bestFit="1" customWidth="1"/>
    <col min="4" max="4" width="20.375" bestFit="1" customWidth="1"/>
    <col min="5" max="5" width="11.375" bestFit="1" customWidth="1"/>
    <col min="6" max="6" width="7.125" bestFit="1" customWidth="1"/>
    <col min="7" max="7" width="6.25" bestFit="1" customWidth="1"/>
    <col min="8" max="11" width="8" bestFit="1" customWidth="1"/>
    <col min="12" max="12" width="6.375" bestFit="1" customWidth="1"/>
    <col min="13" max="13" width="6.25" bestFit="1" customWidth="1"/>
    <col min="14" max="14" width="5.375" bestFit="1" customWidth="1"/>
    <col min="15" max="15" width="10" bestFit="1" customWidth="1"/>
    <col min="16" max="19" width="19.25" bestFit="1" customWidth="1"/>
    <col min="20" max="20" width="13" bestFit="1" customWidth="1"/>
    <col min="21" max="22" width="19.25" bestFit="1" customWidth="1"/>
    <col min="23" max="24" width="15.125" bestFit="1" customWidth="1"/>
    <col min="25" max="25" width="13" bestFit="1" customWidth="1"/>
  </cols>
  <sheetData>
    <row r="1" spans="1:30">
      <c r="A1" s="39" t="s">
        <v>107</v>
      </c>
      <c r="B1" s="39" t="s">
        <v>108</v>
      </c>
      <c r="C1" s="39" t="s">
        <v>123</v>
      </c>
      <c r="D1" s="39" t="s">
        <v>110</v>
      </c>
      <c r="E1" s="39" t="s">
        <v>111</v>
      </c>
      <c r="F1" s="39" t="s">
        <v>112</v>
      </c>
      <c r="G1" s="39" t="s">
        <v>113</v>
      </c>
      <c r="H1" s="39" t="s">
        <v>114</v>
      </c>
      <c r="I1" s="39"/>
      <c r="J1" s="39"/>
      <c r="K1" s="39"/>
      <c r="L1" s="39"/>
      <c r="M1" s="39" t="s">
        <v>115</v>
      </c>
      <c r="N1" s="39" t="s">
        <v>116</v>
      </c>
      <c r="O1" s="43" t="s">
        <v>117</v>
      </c>
    </row>
    <row r="2" spans="1:30">
      <c r="A2" s="39"/>
      <c r="B2" s="39"/>
      <c r="C2" s="39"/>
      <c r="D2" s="39"/>
      <c r="E2" s="39"/>
      <c r="F2" s="39" t="s">
        <v>112</v>
      </c>
      <c r="G2" s="39" t="s">
        <v>112</v>
      </c>
      <c r="H2" s="5" t="s">
        <v>118</v>
      </c>
      <c r="I2" s="5" t="s">
        <v>119</v>
      </c>
      <c r="J2" s="5" t="s">
        <v>120</v>
      </c>
      <c r="K2" s="5" t="s">
        <v>121</v>
      </c>
      <c r="L2" s="5" t="s">
        <v>122</v>
      </c>
      <c r="M2" s="39" t="s">
        <v>112</v>
      </c>
      <c r="N2" s="39" t="s">
        <v>112</v>
      </c>
      <c r="O2" s="43" t="s">
        <v>112</v>
      </c>
    </row>
    <row r="3" spans="1:30" ht="40.5">
      <c r="A3" s="2" t="s">
        <v>0</v>
      </c>
      <c r="B3" s="2" t="s">
        <v>1</v>
      </c>
      <c r="C3" s="2" t="s">
        <v>23</v>
      </c>
      <c r="D3" s="2" t="s">
        <v>2</v>
      </c>
      <c r="E3" s="2" t="s">
        <v>2</v>
      </c>
      <c r="F3" s="2" t="s">
        <v>2</v>
      </c>
      <c r="G3" s="2" t="s">
        <v>2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2" t="s">
        <v>2</v>
      </c>
      <c r="N3" s="2" t="s">
        <v>2</v>
      </c>
      <c r="O3" s="2" t="s">
        <v>2</v>
      </c>
      <c r="R3" t="s">
        <v>166</v>
      </c>
    </row>
    <row r="4" spans="1:30" ht="165">
      <c r="A4" s="2" t="s">
        <v>0</v>
      </c>
      <c r="B4" s="2" t="s">
        <v>1</v>
      </c>
      <c r="C4" s="2" t="s">
        <v>23</v>
      </c>
      <c r="D4" s="2" t="s">
        <v>6</v>
      </c>
      <c r="E4" s="2" t="s">
        <v>2</v>
      </c>
      <c r="F4" s="7">
        <v>79200</v>
      </c>
      <c r="G4" s="7">
        <v>37863</v>
      </c>
      <c r="H4" s="7">
        <v>14269</v>
      </c>
      <c r="I4" s="7">
        <v>5177</v>
      </c>
      <c r="J4" s="7">
        <v>8772</v>
      </c>
      <c r="K4" s="7">
        <v>6163</v>
      </c>
      <c r="L4" s="7">
        <v>1134</v>
      </c>
      <c r="M4" s="7">
        <v>35515</v>
      </c>
      <c r="N4" s="7">
        <v>2348</v>
      </c>
      <c r="O4" s="7">
        <v>41337</v>
      </c>
      <c r="Q4" s="1" t="str">
        <f>_xlfn.TEXTJOIN(CHAR(10),TRUE,P7,P15,P23,P31,P39,P47,P55,P63,P71,P79)</f>
        <v>부천동
심곡동
중동
상동
신중동
대산동
소사본동
범안동
성곡동
오정동</v>
      </c>
      <c r="R4" t="s">
        <v>165</v>
      </c>
    </row>
    <row r="5" spans="1:30">
      <c r="A5" s="2" t="s">
        <v>0</v>
      </c>
      <c r="B5" s="2" t="s">
        <v>1</v>
      </c>
      <c r="C5" s="2" t="s">
        <v>23</v>
      </c>
      <c r="D5" s="2" t="s">
        <v>7</v>
      </c>
      <c r="E5" s="2" t="s">
        <v>2</v>
      </c>
      <c r="F5" s="8">
        <v>68</v>
      </c>
      <c r="G5" s="8">
        <v>67</v>
      </c>
      <c r="H5" s="8">
        <v>22</v>
      </c>
      <c r="I5" s="8">
        <v>16</v>
      </c>
      <c r="J5" s="8">
        <v>14</v>
      </c>
      <c r="K5" s="8">
        <v>8</v>
      </c>
      <c r="L5" s="8">
        <v>2</v>
      </c>
      <c r="M5" s="8">
        <v>62</v>
      </c>
      <c r="N5" s="8">
        <v>5</v>
      </c>
      <c r="O5" s="8">
        <v>1</v>
      </c>
      <c r="R5" s="29"/>
    </row>
    <row r="6" spans="1:30" ht="17.25" thickBot="1">
      <c r="A6" s="2" t="s">
        <v>0</v>
      </c>
      <c r="B6" s="2" t="s">
        <v>1</v>
      </c>
      <c r="C6" s="2" t="s">
        <v>23</v>
      </c>
      <c r="D6" s="2" t="s">
        <v>8</v>
      </c>
      <c r="E6" s="2" t="s">
        <v>2</v>
      </c>
      <c r="F6" s="7">
        <v>4051</v>
      </c>
      <c r="G6" s="7">
        <v>4046</v>
      </c>
      <c r="H6" s="7">
        <v>1573</v>
      </c>
      <c r="I6" s="8">
        <v>586</v>
      </c>
      <c r="J6" s="7">
        <v>1007</v>
      </c>
      <c r="K6" s="8">
        <v>460</v>
      </c>
      <c r="L6" s="8">
        <v>151</v>
      </c>
      <c r="M6" s="7">
        <v>3777</v>
      </c>
      <c r="N6" s="8">
        <v>269</v>
      </c>
      <c r="O6" s="8">
        <v>5</v>
      </c>
      <c r="R6" s="29"/>
    </row>
    <row r="7" spans="1:30" ht="17.25" thickBot="1">
      <c r="A7" s="2" t="s">
        <v>0</v>
      </c>
      <c r="B7" s="2" t="s">
        <v>1</v>
      </c>
      <c r="C7" s="2" t="s">
        <v>23</v>
      </c>
      <c r="D7" s="2" t="s">
        <v>13</v>
      </c>
      <c r="E7" s="2" t="s">
        <v>10</v>
      </c>
      <c r="F7" s="7">
        <v>75081</v>
      </c>
      <c r="G7" s="7">
        <v>33710</v>
      </c>
      <c r="H7" s="7">
        <v>12664</v>
      </c>
      <c r="I7" s="7">
        <v>4568</v>
      </c>
      <c r="J7" s="7">
        <v>7740</v>
      </c>
      <c r="K7" s="7">
        <v>5689</v>
      </c>
      <c r="L7" s="8">
        <v>980</v>
      </c>
      <c r="M7" s="7">
        <v>31641</v>
      </c>
      <c r="N7" s="7">
        <v>2069</v>
      </c>
      <c r="O7" s="21">
        <v>41371</v>
      </c>
      <c r="P7" s="44" t="str">
        <f>D7</f>
        <v>부천동</v>
      </c>
      <c r="Q7" s="53"/>
      <c r="R7" s="53"/>
      <c r="S7" s="54"/>
      <c r="T7" s="30" t="s">
        <v>138</v>
      </c>
      <c r="U7" s="49" t="s">
        <v>136</v>
      </c>
      <c r="V7" s="51"/>
      <c r="W7" s="51"/>
      <c r="X7" s="51"/>
      <c r="Y7" s="50"/>
    </row>
    <row r="8" spans="1:30" ht="17.25" thickBot="1">
      <c r="A8" s="2" t="s">
        <v>0</v>
      </c>
      <c r="B8" s="2" t="s">
        <v>1</v>
      </c>
      <c r="C8" s="2" t="s">
        <v>23</v>
      </c>
      <c r="D8" s="2" t="s">
        <v>13</v>
      </c>
      <c r="E8" s="2" t="s">
        <v>11</v>
      </c>
      <c r="F8" s="7">
        <v>11409</v>
      </c>
      <c r="G8" s="7">
        <v>11382</v>
      </c>
      <c r="H8" s="7">
        <v>4388</v>
      </c>
      <c r="I8" s="7">
        <v>1736</v>
      </c>
      <c r="J8" s="7">
        <v>2506</v>
      </c>
      <c r="K8" s="7">
        <v>1777</v>
      </c>
      <c r="L8" s="8">
        <v>290</v>
      </c>
      <c r="M8" s="7">
        <v>10697</v>
      </c>
      <c r="N8" s="8">
        <v>685</v>
      </c>
      <c r="O8" s="8">
        <v>27</v>
      </c>
      <c r="P8" s="40" t="str">
        <f>"투표수: "&amp;TEXT((SUM(H7:L7)+N7), "#,##0")</f>
        <v>투표수: 33,710</v>
      </c>
      <c r="Q8" s="42"/>
      <c r="R8" s="18" t="str">
        <f>"유효투표수: "&amp;TEXT(SUM(H7:L7),"#,##0")</f>
        <v>유효투표수: 31,641</v>
      </c>
      <c r="S8" s="16" t="str">
        <f>"무효투표수: "&amp;TEXT(N7, "#,##0")</f>
        <v>무효투표수: 2,069</v>
      </c>
      <c r="T8" s="47" t="s">
        <v>154</v>
      </c>
      <c r="U8" s="77" t="str">
        <f>H3</f>
        <v>더불어민주당
박순희</v>
      </c>
      <c r="V8" s="77" t="str">
        <f>I3</f>
        <v>더불어민주당
박명혜</v>
      </c>
      <c r="W8" s="77" t="str">
        <f>J3</f>
        <v>국민의힘
최초은</v>
      </c>
      <c r="X8" s="77" t="str">
        <f>K3</f>
        <v>국민의힘
곽내경</v>
      </c>
      <c r="Y8" s="77" t="str">
        <f>L3</f>
        <v>정의당
이혜원</v>
      </c>
    </row>
    <row r="9" spans="1:30" ht="17.25" thickBot="1">
      <c r="A9" s="2" t="s">
        <v>0</v>
      </c>
      <c r="B9" s="2" t="s">
        <v>1</v>
      </c>
      <c r="C9" s="2" t="s">
        <v>23</v>
      </c>
      <c r="D9" s="2" t="s">
        <v>13</v>
      </c>
      <c r="E9" s="2" t="s">
        <v>12</v>
      </c>
      <c r="F9" s="7">
        <v>63672</v>
      </c>
      <c r="G9" s="7">
        <v>22328</v>
      </c>
      <c r="H9" s="7">
        <v>8276</v>
      </c>
      <c r="I9" s="7">
        <v>2832</v>
      </c>
      <c r="J9" s="7">
        <v>5234</v>
      </c>
      <c r="K9" s="7">
        <v>3912</v>
      </c>
      <c r="L9" s="8">
        <v>690</v>
      </c>
      <c r="M9" s="7">
        <v>20944</v>
      </c>
      <c r="N9" s="7">
        <v>1384</v>
      </c>
      <c r="O9" s="7">
        <v>41344</v>
      </c>
      <c r="P9" s="17" t="str">
        <f>"투표율: "&amp;TEXT(((G7/F7)*100), "0.00")&amp;"%"</f>
        <v>투표율: 44.90%</v>
      </c>
      <c r="Q9" s="12" t="str">
        <f>"기권율: "&amp;TEXT(((O7/F7)*100), "0.00")&amp;"%"</f>
        <v>기권율: 55.10%</v>
      </c>
      <c r="R9" s="17" t="str">
        <f>"유효투표율: "&amp;TEXT(((M7/G7)*100), "0.00")&amp;"%"</f>
        <v>유효투표율: 93.86%</v>
      </c>
      <c r="S9" s="12" t="str">
        <f>"무효투표율: "&amp;TEXT(((N7/G7)*100), "0.00")&amp;"%"</f>
        <v>무효투표율: 6.14%</v>
      </c>
      <c r="T9" s="48"/>
      <c r="U9" s="25" t="str">
        <f>TEXT(H7,"#,##0")&amp;CHAR(10)&amp;"("&amp;TEXT((ROUND((H7/(SUM($H7:$L7))*100),2)),"0.00")&amp;"%)"</f>
        <v>12,664
(40.02%)</v>
      </c>
      <c r="V9" s="25" t="str">
        <f>TEXT(I7,"#,##0")&amp;CHAR(10)&amp;"("&amp;TEXT((ROUND((I7/(SUM($H7:$L7))*100),2)),"0.00")&amp;"%)"</f>
        <v>4,568
(14.44%)</v>
      </c>
      <c r="W9" s="25" t="str">
        <f>TEXT(J7,"#,##0")&amp;CHAR(10)&amp;"("&amp;TEXT((ROUND((J7/(SUM($H7:$L7))*100),2)),"0.00")&amp;"%)"</f>
        <v>7,740
(24.46%)</v>
      </c>
      <c r="X9" s="25" t="str">
        <f>TEXT(K7,"#,##0")&amp;CHAR(10)&amp;"("&amp;TEXT((ROUND((K7/(SUM($H7:$L7))*100),2)),"0.00")&amp;"%)"</f>
        <v>5,689
(17.98%)</v>
      </c>
      <c r="Y9" s="25" t="str">
        <f>TEXT(L7,"#,##0")&amp;CHAR(10)&amp;"("&amp;TEXT((ROUND((L7/(SUM($H7:$L7))*100),2)),"0.00")&amp;"%)"</f>
        <v>980
(3.10%)</v>
      </c>
      <c r="Z9">
        <f>SUBSTITUTE(SUBSTITUTE(LEFT(U9,FIND("(",U9)-1),",",""),CHAR(10),"")+0</f>
        <v>12664</v>
      </c>
      <c r="AA9">
        <f>SUBSTITUTE(SUBSTITUTE(LEFT(V9,FIND("(",V9)-1),",",""),CHAR(10),"")+0</f>
        <v>4568</v>
      </c>
      <c r="AB9">
        <f>SUBSTITUTE(SUBSTITUTE(LEFT(W9,FIND("(",W9)-1),",",""),CHAR(10),"")+0</f>
        <v>7740</v>
      </c>
      <c r="AC9">
        <f>SUBSTITUTE(SUBSTITUTE(LEFT(X9,FIND("(",X9)-1),",",""),CHAR(10),"")+0</f>
        <v>5689</v>
      </c>
      <c r="AD9">
        <f>SUBSTITUTE(SUBSTITUTE(LEFT(Y9,FIND("(",Y9)-1),",",""),CHAR(10),"")+0</f>
        <v>980</v>
      </c>
    </row>
    <row r="10" spans="1:30" ht="17.25" customHeight="1">
      <c r="A10" s="2" t="s">
        <v>0</v>
      </c>
      <c r="B10" s="2" t="s">
        <v>1</v>
      </c>
      <c r="C10" s="2" t="s">
        <v>23</v>
      </c>
      <c r="D10" s="2" t="s">
        <v>22</v>
      </c>
      <c r="E10" s="2" t="s">
        <v>2</v>
      </c>
      <c r="F10" s="8">
        <v>0</v>
      </c>
      <c r="G10" s="8">
        <v>40</v>
      </c>
      <c r="H10" s="8">
        <v>10</v>
      </c>
      <c r="I10" s="8">
        <v>7</v>
      </c>
      <c r="J10" s="8">
        <v>11</v>
      </c>
      <c r="K10" s="8">
        <v>6</v>
      </c>
      <c r="L10" s="8">
        <v>1</v>
      </c>
      <c r="M10" s="8">
        <v>35</v>
      </c>
      <c r="N10" s="8">
        <v>5</v>
      </c>
      <c r="O10" s="8">
        <v>-40</v>
      </c>
    </row>
    <row r="11" spans="1:30" ht="40.5">
      <c r="A11" s="2" t="s">
        <v>0</v>
      </c>
      <c r="B11" s="2" t="s">
        <v>1</v>
      </c>
      <c r="C11" s="2" t="s">
        <v>29</v>
      </c>
      <c r="D11" s="2" t="s">
        <v>2</v>
      </c>
      <c r="E11" s="2" t="s">
        <v>2</v>
      </c>
      <c r="F11" s="2" t="s">
        <v>2</v>
      </c>
      <c r="G11" s="2" t="s">
        <v>2</v>
      </c>
      <c r="H11" s="3" t="s">
        <v>30</v>
      </c>
      <c r="I11" s="3" t="s">
        <v>31</v>
      </c>
      <c r="J11" s="3" t="s">
        <v>32</v>
      </c>
      <c r="K11" s="3" t="s">
        <v>5</v>
      </c>
      <c r="L11" s="3" t="s">
        <v>5</v>
      </c>
      <c r="M11" s="2" t="s">
        <v>2</v>
      </c>
      <c r="N11" s="2" t="s">
        <v>2</v>
      </c>
      <c r="O11" s="2" t="s">
        <v>2</v>
      </c>
    </row>
    <row r="12" spans="1:30">
      <c r="A12" s="2" t="s">
        <v>0</v>
      </c>
      <c r="B12" s="2" t="s">
        <v>1</v>
      </c>
      <c r="C12" s="2" t="s">
        <v>29</v>
      </c>
      <c r="D12" s="2" t="s">
        <v>6</v>
      </c>
      <c r="E12" s="2" t="s">
        <v>2</v>
      </c>
      <c r="F12" s="7">
        <v>58772</v>
      </c>
      <c r="G12" s="7">
        <v>24790</v>
      </c>
      <c r="H12" s="7">
        <v>12512</v>
      </c>
      <c r="I12" s="7">
        <v>9521</v>
      </c>
      <c r="J12" s="7">
        <v>1539</v>
      </c>
      <c r="K12" s="8">
        <v>0</v>
      </c>
      <c r="L12" s="8">
        <v>0</v>
      </c>
      <c r="M12" s="7">
        <v>23572</v>
      </c>
      <c r="N12" s="7">
        <v>1218</v>
      </c>
      <c r="O12" s="7">
        <v>33982</v>
      </c>
    </row>
    <row r="13" spans="1:30">
      <c r="A13" s="2" t="s">
        <v>0</v>
      </c>
      <c r="B13" s="2" t="s">
        <v>1</v>
      </c>
      <c r="C13" s="2" t="s">
        <v>29</v>
      </c>
      <c r="D13" s="2" t="s">
        <v>7</v>
      </c>
      <c r="E13" s="2" t="s">
        <v>2</v>
      </c>
      <c r="F13" s="8">
        <v>74</v>
      </c>
      <c r="G13" s="8">
        <v>71</v>
      </c>
      <c r="H13" s="8">
        <v>36</v>
      </c>
      <c r="I13" s="8">
        <v>21</v>
      </c>
      <c r="J13" s="8">
        <v>9</v>
      </c>
      <c r="K13" s="8">
        <v>0</v>
      </c>
      <c r="L13" s="8">
        <v>0</v>
      </c>
      <c r="M13" s="8">
        <v>66</v>
      </c>
      <c r="N13" s="8">
        <v>5</v>
      </c>
      <c r="O13" s="8">
        <v>3</v>
      </c>
    </row>
    <row r="14" spans="1:30" ht="17.25" thickBot="1">
      <c r="A14" s="2" t="s">
        <v>0</v>
      </c>
      <c r="B14" s="2" t="s">
        <v>1</v>
      </c>
      <c r="C14" s="2" t="s">
        <v>29</v>
      </c>
      <c r="D14" s="2" t="s">
        <v>8</v>
      </c>
      <c r="E14" s="2" t="s">
        <v>2</v>
      </c>
      <c r="F14" s="7">
        <v>3154</v>
      </c>
      <c r="G14" s="7">
        <v>3150</v>
      </c>
      <c r="H14" s="7">
        <v>1778</v>
      </c>
      <c r="I14" s="7">
        <v>1175</v>
      </c>
      <c r="J14" s="8">
        <v>116</v>
      </c>
      <c r="K14" s="8">
        <v>0</v>
      </c>
      <c r="L14" s="8">
        <v>0</v>
      </c>
      <c r="M14" s="7">
        <v>3069</v>
      </c>
      <c r="N14" s="8">
        <v>81</v>
      </c>
      <c r="O14" s="8">
        <v>4</v>
      </c>
    </row>
    <row r="15" spans="1:30" ht="17.25" thickBot="1">
      <c r="A15" s="2" t="s">
        <v>0</v>
      </c>
      <c r="B15" s="2" t="s">
        <v>1</v>
      </c>
      <c r="C15" s="2" t="s">
        <v>29</v>
      </c>
      <c r="D15" s="2" t="s">
        <v>9</v>
      </c>
      <c r="E15" s="2" t="s">
        <v>10</v>
      </c>
      <c r="F15" s="7">
        <v>55544</v>
      </c>
      <c r="G15" s="7">
        <v>21498</v>
      </c>
      <c r="H15" s="7">
        <v>10668</v>
      </c>
      <c r="I15" s="7">
        <v>8306</v>
      </c>
      <c r="J15" s="7">
        <v>1413</v>
      </c>
      <c r="K15" s="8">
        <v>0</v>
      </c>
      <c r="L15" s="8">
        <v>0</v>
      </c>
      <c r="M15" s="7">
        <v>20387</v>
      </c>
      <c r="N15" s="7">
        <v>1111</v>
      </c>
      <c r="O15" s="7">
        <v>34046</v>
      </c>
      <c r="P15" s="44" t="str">
        <f>D15</f>
        <v>심곡동</v>
      </c>
      <c r="Q15" s="53"/>
      <c r="R15" s="53"/>
      <c r="S15" s="54"/>
      <c r="T15" s="30" t="s">
        <v>138</v>
      </c>
      <c r="U15" s="49" t="s">
        <v>136</v>
      </c>
      <c r="V15" s="51"/>
      <c r="W15" s="51"/>
      <c r="X15" s="51"/>
      <c r="Y15" s="50"/>
    </row>
    <row r="16" spans="1:30" ht="17.25" thickBot="1">
      <c r="A16" s="2" t="s">
        <v>0</v>
      </c>
      <c r="B16" s="2" t="s">
        <v>1</v>
      </c>
      <c r="C16" s="2" t="s">
        <v>29</v>
      </c>
      <c r="D16" s="2" t="s">
        <v>9</v>
      </c>
      <c r="E16" s="2" t="s">
        <v>11</v>
      </c>
      <c r="F16" s="7">
        <v>7646</v>
      </c>
      <c r="G16" s="7">
        <v>7628</v>
      </c>
      <c r="H16" s="7">
        <v>3936</v>
      </c>
      <c r="I16" s="7">
        <v>2974</v>
      </c>
      <c r="J16" s="8">
        <v>496</v>
      </c>
      <c r="K16" s="8">
        <v>0</v>
      </c>
      <c r="L16" s="8">
        <v>0</v>
      </c>
      <c r="M16" s="7">
        <v>7406</v>
      </c>
      <c r="N16" s="8">
        <v>222</v>
      </c>
      <c r="O16" s="8">
        <v>18</v>
      </c>
      <c r="P16" s="40" t="str">
        <f>"투표수: "&amp;TEXT((SUM(H15:L15)+N15), "#,##0")</f>
        <v>투표수: 21,498</v>
      </c>
      <c r="Q16" s="42"/>
      <c r="R16" s="18" t="str">
        <f>"유효투표수: "&amp;TEXT(SUM(H15:L15),"#,##0")</f>
        <v>유효투표수: 20,387</v>
      </c>
      <c r="S16" s="16" t="str">
        <f>"무효투표수: "&amp;TEXT(N15, "#,##0")</f>
        <v>무효투표수: 1,111</v>
      </c>
      <c r="T16" s="47" t="s">
        <v>154</v>
      </c>
      <c r="U16" s="77" t="str">
        <f>H11</f>
        <v>더불어민주당
김병전</v>
      </c>
      <c r="V16" s="77" t="str">
        <f>I11</f>
        <v>국민의힘
안효식</v>
      </c>
      <c r="W16" s="77" t="str">
        <f>J11</f>
        <v>국민의힘
박두례</v>
      </c>
      <c r="X16" s="77" t="str">
        <f>K11</f>
        <v xml:space="preserve">
</v>
      </c>
      <c r="Y16" s="77" t="str">
        <f>L11</f>
        <v xml:space="preserve">
</v>
      </c>
    </row>
    <row r="17" spans="1:30" ht="17.25" thickBot="1">
      <c r="A17" s="2" t="s">
        <v>0</v>
      </c>
      <c r="B17" s="2" t="s">
        <v>1</v>
      </c>
      <c r="C17" s="2" t="s">
        <v>29</v>
      </c>
      <c r="D17" s="2" t="s">
        <v>9</v>
      </c>
      <c r="E17" s="2" t="s">
        <v>12</v>
      </c>
      <c r="F17" s="7">
        <v>47898</v>
      </c>
      <c r="G17" s="7">
        <v>13870</v>
      </c>
      <c r="H17" s="7">
        <v>6732</v>
      </c>
      <c r="I17" s="7">
        <v>5332</v>
      </c>
      <c r="J17" s="8">
        <v>917</v>
      </c>
      <c r="K17" s="8">
        <v>0</v>
      </c>
      <c r="L17" s="8">
        <v>0</v>
      </c>
      <c r="M17" s="7">
        <v>12981</v>
      </c>
      <c r="N17" s="8">
        <v>889</v>
      </c>
      <c r="O17" s="7">
        <v>34028</v>
      </c>
      <c r="P17" s="17" t="str">
        <f>"투표율: "&amp;TEXT(((G15/F15)*100), "0.00")&amp;"%"</f>
        <v>투표율: 38.70%</v>
      </c>
      <c r="Q17" s="12" t="str">
        <f>"기권율: "&amp;TEXT(((O15/F15)*100), "0.00")&amp;"%"</f>
        <v>기권율: 61.30%</v>
      </c>
      <c r="R17" s="17" t="str">
        <f>"유효투표율: "&amp;TEXT(((M15/G15)*100), "0.00")&amp;"%"</f>
        <v>유효투표율: 94.83%</v>
      </c>
      <c r="S17" s="12" t="str">
        <f>"무효투표율: "&amp;TEXT(((N15/G15)*100), "0.00")&amp;"%"</f>
        <v>무효투표율: 5.17%</v>
      </c>
      <c r="T17" s="48"/>
      <c r="U17" s="25" t="str">
        <f>TEXT(H15,"#,##0")&amp;CHAR(10)&amp;"("&amp;TEXT((ROUND((H15/(SUM($H15:$L15))*100),2)),"0.00")&amp;"%)"</f>
        <v>10,668
(52.33%)</v>
      </c>
      <c r="V17" s="25" t="str">
        <f>TEXT(I15,"#,##0")&amp;CHAR(10)&amp;"("&amp;TEXT((ROUND((I15/(SUM($H15:$L15))*100),2)),"0.00")&amp;"%)"</f>
        <v>8,306
(40.74%)</v>
      </c>
      <c r="W17" s="25" t="str">
        <f>TEXT(J15,"#,##0")&amp;CHAR(10)&amp;"("&amp;TEXT((ROUND((J15/(SUM($H15:$L15))*100),2)),"0.00")&amp;"%)"</f>
        <v>1,413
(6.93%)</v>
      </c>
      <c r="X17" s="25" t="str">
        <f>TEXT(K15,"#,##0")&amp;CHAR(10)&amp;"("&amp;TEXT((ROUND((K15/(SUM($H15:$L15))*100),2)),"0.00")&amp;"%)"</f>
        <v>0
(0.00%)</v>
      </c>
      <c r="Y17" s="25" t="str">
        <f>TEXT(L15,"#,##0")&amp;CHAR(10)&amp;"("&amp;TEXT((ROUND((L15/(SUM($H15:$L15))*100),2)),"0.00")&amp;"%)"</f>
        <v>0
(0.00%)</v>
      </c>
      <c r="Z17">
        <f>SUBSTITUTE(SUBSTITUTE(LEFT(U17,FIND("(",U17)-1),",",""),CHAR(10),"")+0</f>
        <v>10668</v>
      </c>
      <c r="AA17">
        <f>SUBSTITUTE(SUBSTITUTE(LEFT(V17,FIND("(",V17)-1),",",""),CHAR(10),"")+0</f>
        <v>8306</v>
      </c>
      <c r="AB17">
        <f>SUBSTITUTE(SUBSTITUTE(LEFT(W17,FIND("(",W17)-1),",",""),CHAR(10),"")+0</f>
        <v>1413</v>
      </c>
      <c r="AC17">
        <f>SUBSTITUTE(SUBSTITUTE(LEFT(X17,FIND("(",X17)-1),",",""),CHAR(10),"")+0</f>
        <v>0</v>
      </c>
      <c r="AD17">
        <f>SUBSTITUTE(SUBSTITUTE(LEFT(Y17,FIND("(",Y17)-1),",",""),CHAR(10),"")+0</f>
        <v>0</v>
      </c>
    </row>
    <row r="18" spans="1:30">
      <c r="A18" s="2" t="s">
        <v>0</v>
      </c>
      <c r="B18" s="2" t="s">
        <v>1</v>
      </c>
      <c r="C18" s="2" t="s">
        <v>29</v>
      </c>
      <c r="D18" s="2" t="s">
        <v>22</v>
      </c>
      <c r="E18" s="2" t="s">
        <v>2</v>
      </c>
      <c r="F18" s="8">
        <v>0</v>
      </c>
      <c r="G18" s="8">
        <v>71</v>
      </c>
      <c r="H18" s="8">
        <v>30</v>
      </c>
      <c r="I18" s="8">
        <v>19</v>
      </c>
      <c r="J18" s="8">
        <v>1</v>
      </c>
      <c r="K18" s="8">
        <v>0</v>
      </c>
      <c r="L18" s="8">
        <v>0</v>
      </c>
      <c r="M18" s="8">
        <v>50</v>
      </c>
      <c r="N18" s="8">
        <v>21</v>
      </c>
      <c r="O18" s="8">
        <v>-71</v>
      </c>
    </row>
    <row r="19" spans="1:30" ht="40.5">
      <c r="A19" s="2" t="s">
        <v>0</v>
      </c>
      <c r="B19" s="2" t="s">
        <v>1</v>
      </c>
      <c r="C19" s="2" t="s">
        <v>33</v>
      </c>
      <c r="D19" s="2" t="s">
        <v>2</v>
      </c>
      <c r="E19" s="2" t="s">
        <v>2</v>
      </c>
      <c r="F19" s="2" t="s">
        <v>2</v>
      </c>
      <c r="G19" s="2" t="s">
        <v>2</v>
      </c>
      <c r="H19" s="3" t="s">
        <v>34</v>
      </c>
      <c r="I19" s="3" t="s">
        <v>35</v>
      </c>
      <c r="J19" s="3" t="s">
        <v>36</v>
      </c>
      <c r="K19" s="3" t="s">
        <v>5</v>
      </c>
      <c r="L19" s="3" t="s">
        <v>5</v>
      </c>
      <c r="M19" s="2" t="s">
        <v>2</v>
      </c>
      <c r="N19" s="2" t="s">
        <v>2</v>
      </c>
      <c r="O19" s="2" t="s">
        <v>2</v>
      </c>
    </row>
    <row r="20" spans="1:30">
      <c r="A20" s="2" t="s">
        <v>0</v>
      </c>
      <c r="B20" s="2" t="s">
        <v>1</v>
      </c>
      <c r="C20" s="2" t="s">
        <v>33</v>
      </c>
      <c r="D20" s="2" t="s">
        <v>6</v>
      </c>
      <c r="E20" s="2" t="s">
        <v>2</v>
      </c>
      <c r="F20" s="7">
        <v>35642</v>
      </c>
      <c r="G20" s="7">
        <v>18383</v>
      </c>
      <c r="H20" s="7">
        <v>8678</v>
      </c>
      <c r="I20" s="7">
        <v>5330</v>
      </c>
      <c r="J20" s="7">
        <v>3358</v>
      </c>
      <c r="K20" s="8">
        <v>0</v>
      </c>
      <c r="L20" s="8">
        <v>0</v>
      </c>
      <c r="M20" s="7">
        <v>17366</v>
      </c>
      <c r="N20" s="7">
        <v>1017</v>
      </c>
      <c r="O20" s="7">
        <v>17259</v>
      </c>
    </row>
    <row r="21" spans="1:30">
      <c r="A21" s="2" t="s">
        <v>0</v>
      </c>
      <c r="B21" s="2" t="s">
        <v>1</v>
      </c>
      <c r="C21" s="2" t="s">
        <v>33</v>
      </c>
      <c r="D21" s="2" t="s">
        <v>7</v>
      </c>
      <c r="E21" s="2" t="s">
        <v>2</v>
      </c>
      <c r="F21" s="8">
        <v>52</v>
      </c>
      <c r="G21" s="8">
        <v>49</v>
      </c>
      <c r="H21" s="8">
        <v>15</v>
      </c>
      <c r="I21" s="8">
        <v>23</v>
      </c>
      <c r="J21" s="8">
        <v>4</v>
      </c>
      <c r="K21" s="8">
        <v>0</v>
      </c>
      <c r="L21" s="8">
        <v>0</v>
      </c>
      <c r="M21" s="8">
        <v>42</v>
      </c>
      <c r="N21" s="8">
        <v>7</v>
      </c>
      <c r="O21" s="8">
        <v>3</v>
      </c>
    </row>
    <row r="22" spans="1:30" ht="17.25" thickBot="1">
      <c r="A22" s="2" t="s">
        <v>0</v>
      </c>
      <c r="B22" s="2" t="s">
        <v>1</v>
      </c>
      <c r="C22" s="2" t="s">
        <v>33</v>
      </c>
      <c r="D22" s="2" t="s">
        <v>8</v>
      </c>
      <c r="E22" s="2" t="s">
        <v>2</v>
      </c>
      <c r="F22" s="7">
        <v>2335</v>
      </c>
      <c r="G22" s="7">
        <v>2305</v>
      </c>
      <c r="H22" s="7">
        <v>1227</v>
      </c>
      <c r="I22" s="8">
        <v>763</v>
      </c>
      <c r="J22" s="8">
        <v>249</v>
      </c>
      <c r="K22" s="8">
        <v>0</v>
      </c>
      <c r="L22" s="8">
        <v>0</v>
      </c>
      <c r="M22" s="7">
        <v>2239</v>
      </c>
      <c r="N22" s="8">
        <v>66</v>
      </c>
      <c r="O22" s="8">
        <v>30</v>
      </c>
    </row>
    <row r="23" spans="1:30" ht="17.25" thickBot="1">
      <c r="A23" s="2" t="s">
        <v>0</v>
      </c>
      <c r="B23" s="2" t="s">
        <v>1</v>
      </c>
      <c r="C23" s="2" t="s">
        <v>33</v>
      </c>
      <c r="D23" s="2" t="s">
        <v>14</v>
      </c>
      <c r="E23" s="2" t="s">
        <v>10</v>
      </c>
      <c r="F23" s="7">
        <v>33255</v>
      </c>
      <c r="G23" s="7">
        <v>15957</v>
      </c>
      <c r="H23" s="7">
        <v>7401</v>
      </c>
      <c r="I23" s="7">
        <v>4523</v>
      </c>
      <c r="J23" s="7">
        <v>3098</v>
      </c>
      <c r="K23" s="8">
        <v>0</v>
      </c>
      <c r="L23" s="8">
        <v>0</v>
      </c>
      <c r="M23" s="7">
        <v>15022</v>
      </c>
      <c r="N23" s="8">
        <v>935</v>
      </c>
      <c r="O23" s="7">
        <v>17298</v>
      </c>
      <c r="P23" s="44" t="str">
        <f>D23</f>
        <v>중동</v>
      </c>
      <c r="Q23" s="53"/>
      <c r="R23" s="53"/>
      <c r="S23" s="54"/>
      <c r="T23" s="30" t="s">
        <v>138</v>
      </c>
      <c r="U23" s="49" t="s">
        <v>136</v>
      </c>
      <c r="V23" s="51"/>
      <c r="W23" s="51"/>
      <c r="X23" s="51"/>
      <c r="Y23" s="50"/>
    </row>
    <row r="24" spans="1:30" ht="17.25" thickBot="1">
      <c r="A24" s="2" t="s">
        <v>0</v>
      </c>
      <c r="B24" s="2" t="s">
        <v>1</v>
      </c>
      <c r="C24" s="2" t="s">
        <v>33</v>
      </c>
      <c r="D24" s="2" t="s">
        <v>14</v>
      </c>
      <c r="E24" s="2" t="s">
        <v>11</v>
      </c>
      <c r="F24" s="7">
        <v>5125</v>
      </c>
      <c r="G24" s="7">
        <v>5102</v>
      </c>
      <c r="H24" s="7">
        <v>2483</v>
      </c>
      <c r="I24" s="7">
        <v>1435</v>
      </c>
      <c r="J24" s="7">
        <v>1035</v>
      </c>
      <c r="K24" s="8">
        <v>0</v>
      </c>
      <c r="L24" s="8">
        <v>0</v>
      </c>
      <c r="M24" s="7">
        <v>4953</v>
      </c>
      <c r="N24" s="8">
        <v>149</v>
      </c>
      <c r="O24" s="8">
        <v>23</v>
      </c>
      <c r="P24" s="40" t="str">
        <f>"투표수: "&amp;TEXT((SUM(H23:L23)+N23), "#,##0")</f>
        <v>투표수: 15,957</v>
      </c>
      <c r="Q24" s="42"/>
      <c r="R24" s="18" t="str">
        <f>"유효투표수: "&amp;TEXT(SUM(H23:L23),"#,##0")</f>
        <v>유효투표수: 15,022</v>
      </c>
      <c r="S24" s="16" t="str">
        <f>"무효투표수: "&amp;TEXT(N23, "#,##0")</f>
        <v>무효투표수: 935</v>
      </c>
      <c r="T24" s="47" t="s">
        <v>139</v>
      </c>
      <c r="U24" s="77" t="str">
        <f>H19</f>
        <v>더불어민주당
임은분</v>
      </c>
      <c r="V24" s="77" t="str">
        <f>I19</f>
        <v>국민의힘
김미자</v>
      </c>
      <c r="W24" s="77" t="str">
        <f>J19</f>
        <v>국민의힘
방춘하</v>
      </c>
      <c r="X24" s="77" t="str">
        <f>K19</f>
        <v xml:space="preserve">
</v>
      </c>
      <c r="Y24" s="77" t="str">
        <f>L19</f>
        <v xml:space="preserve">
</v>
      </c>
    </row>
    <row r="25" spans="1:30" ht="17.25" thickBot="1">
      <c r="A25" s="2" t="s">
        <v>0</v>
      </c>
      <c r="B25" s="2" t="s">
        <v>1</v>
      </c>
      <c r="C25" s="2" t="s">
        <v>33</v>
      </c>
      <c r="D25" s="2" t="s">
        <v>14</v>
      </c>
      <c r="E25" s="2" t="s">
        <v>12</v>
      </c>
      <c r="F25" s="7">
        <v>28130</v>
      </c>
      <c r="G25" s="7">
        <v>10855</v>
      </c>
      <c r="H25" s="7">
        <v>4918</v>
      </c>
      <c r="I25" s="7">
        <v>3088</v>
      </c>
      <c r="J25" s="7">
        <v>2063</v>
      </c>
      <c r="K25" s="8">
        <v>0</v>
      </c>
      <c r="L25" s="8">
        <v>0</v>
      </c>
      <c r="M25" s="7">
        <v>10069</v>
      </c>
      <c r="N25" s="8">
        <v>786</v>
      </c>
      <c r="O25" s="7">
        <v>17275</v>
      </c>
      <c r="P25" s="17" t="str">
        <f>"투표율: "&amp;TEXT(((G23/F23)*100), "0.00")&amp;"%"</f>
        <v>투표율: 47.98%</v>
      </c>
      <c r="Q25" s="12" t="str">
        <f>"기권율: "&amp;TEXT(((O23/F23)*100), "0.00")&amp;"%"</f>
        <v>기권율: 52.02%</v>
      </c>
      <c r="R25" s="17" t="str">
        <f>"유효투표율: "&amp;TEXT(((M23/G23)*100), "0.00")&amp;"%"</f>
        <v>유효투표율: 94.14%</v>
      </c>
      <c r="S25" s="12" t="str">
        <f>"무효투표율: "&amp;TEXT(((N23/G23)*100), "0.00")&amp;"%"</f>
        <v>무효투표율: 5.86%</v>
      </c>
      <c r="T25" s="48"/>
      <c r="U25" s="25" t="str">
        <f>TEXT(H23,"#,##0")&amp;CHAR(10)&amp;"("&amp;TEXT((ROUND((H23/(SUM($H23:$L23))*100),2)),"0.00")&amp;"%)"</f>
        <v>7,401
(49.27%)</v>
      </c>
      <c r="V25" s="25" t="str">
        <f>TEXT(I23,"#,##0")&amp;CHAR(10)&amp;"("&amp;TEXT((ROUND((I23/(SUM($H23:$L23))*100),2)),"0.00")&amp;"%)"</f>
        <v>4,523
(30.11%)</v>
      </c>
      <c r="W25" s="25" t="str">
        <f>TEXT(J23,"#,##0")&amp;CHAR(10)&amp;"("&amp;TEXT((ROUND((J23/(SUM($H23:$L23))*100),2)),"0.00")&amp;"%)"</f>
        <v>3,098
(20.62%)</v>
      </c>
      <c r="X25" s="25" t="str">
        <f>TEXT(K23,"#,##0")&amp;CHAR(10)&amp;"("&amp;TEXT((ROUND((K23/(SUM($H23:$L23))*100),2)),"0.00")&amp;"%)"</f>
        <v>0
(0.00%)</v>
      </c>
      <c r="Y25" s="25" t="str">
        <f>TEXT(L23,"#,##0")&amp;CHAR(10)&amp;"("&amp;TEXT((ROUND((L23/(SUM($H23:$L23))*100),2)),"0.00")&amp;"%)"</f>
        <v>0
(0.00%)</v>
      </c>
      <c r="Z25">
        <f>SUBSTITUTE(SUBSTITUTE(LEFT(U25,FIND("(",U25)-1),",",""),CHAR(10),"")+0</f>
        <v>7401</v>
      </c>
      <c r="AA25">
        <f>SUBSTITUTE(SUBSTITUTE(LEFT(V25,FIND("(",V25)-1),",",""),CHAR(10),"")+0</f>
        <v>4523</v>
      </c>
      <c r="AB25">
        <f>SUBSTITUTE(SUBSTITUTE(LEFT(W25,FIND("(",W25)-1),",",""),CHAR(10),"")+0</f>
        <v>3098</v>
      </c>
      <c r="AC25">
        <f>SUBSTITUTE(SUBSTITUTE(LEFT(X25,FIND("(",X25)-1),",",""),CHAR(10),"")+0</f>
        <v>0</v>
      </c>
      <c r="AD25">
        <f>SUBSTITUTE(SUBSTITUTE(LEFT(Y25,FIND("(",Y25)-1),",",""),CHAR(10),"")+0</f>
        <v>0</v>
      </c>
    </row>
    <row r="26" spans="1:30">
      <c r="A26" s="2" t="s">
        <v>0</v>
      </c>
      <c r="B26" s="2" t="s">
        <v>1</v>
      </c>
      <c r="C26" s="2" t="s">
        <v>33</v>
      </c>
      <c r="D26" s="2" t="s">
        <v>22</v>
      </c>
      <c r="E26" s="2" t="s">
        <v>2</v>
      </c>
      <c r="F26" s="8">
        <v>0</v>
      </c>
      <c r="G26" s="8">
        <v>72</v>
      </c>
      <c r="H26" s="8">
        <v>35</v>
      </c>
      <c r="I26" s="8">
        <v>21</v>
      </c>
      <c r="J26" s="8">
        <v>7</v>
      </c>
      <c r="K26" s="8">
        <v>0</v>
      </c>
      <c r="L26" s="8">
        <v>0</v>
      </c>
      <c r="M26" s="8">
        <v>63</v>
      </c>
      <c r="N26" s="8">
        <v>9</v>
      </c>
      <c r="O26" s="8">
        <v>-72</v>
      </c>
    </row>
    <row r="27" spans="1:30" ht="40.5">
      <c r="A27" s="2" t="s">
        <v>0</v>
      </c>
      <c r="B27" s="2" t="s">
        <v>1</v>
      </c>
      <c r="C27" s="2" t="s">
        <v>37</v>
      </c>
      <c r="D27" s="2" t="s">
        <v>2</v>
      </c>
      <c r="E27" s="2" t="s">
        <v>2</v>
      </c>
      <c r="F27" s="2" t="s">
        <v>2</v>
      </c>
      <c r="G27" s="2" t="s">
        <v>2</v>
      </c>
      <c r="H27" s="3" t="s">
        <v>38</v>
      </c>
      <c r="I27" s="3" t="s">
        <v>39</v>
      </c>
      <c r="J27" s="3" t="s">
        <v>40</v>
      </c>
      <c r="K27" s="3" t="s">
        <v>41</v>
      </c>
      <c r="L27" s="3" t="s">
        <v>5</v>
      </c>
      <c r="M27" s="2" t="s">
        <v>2</v>
      </c>
      <c r="N27" s="2" t="s">
        <v>2</v>
      </c>
      <c r="O27" s="2" t="s">
        <v>2</v>
      </c>
    </row>
    <row r="28" spans="1:30">
      <c r="A28" s="2" t="s">
        <v>0</v>
      </c>
      <c r="B28" s="2" t="s">
        <v>1</v>
      </c>
      <c r="C28" s="2" t="s">
        <v>37</v>
      </c>
      <c r="D28" s="2" t="s">
        <v>6</v>
      </c>
      <c r="E28" s="2" t="s">
        <v>2</v>
      </c>
      <c r="F28" s="7">
        <v>69841</v>
      </c>
      <c r="G28" s="7">
        <v>39211</v>
      </c>
      <c r="H28" s="7">
        <v>15931</v>
      </c>
      <c r="I28" s="7">
        <v>5611</v>
      </c>
      <c r="J28" s="7">
        <v>10039</v>
      </c>
      <c r="K28" s="7">
        <v>4157</v>
      </c>
      <c r="L28" s="8">
        <v>0</v>
      </c>
      <c r="M28" s="7">
        <v>35738</v>
      </c>
      <c r="N28" s="7">
        <v>3473</v>
      </c>
      <c r="O28" s="7">
        <v>30630</v>
      </c>
    </row>
    <row r="29" spans="1:30">
      <c r="A29" s="2" t="s">
        <v>0</v>
      </c>
      <c r="B29" s="2" t="s">
        <v>1</v>
      </c>
      <c r="C29" s="2" t="s">
        <v>37</v>
      </c>
      <c r="D29" s="2" t="s">
        <v>7</v>
      </c>
      <c r="E29" s="2" t="s">
        <v>2</v>
      </c>
      <c r="F29" s="8">
        <v>81</v>
      </c>
      <c r="G29" s="8">
        <v>78</v>
      </c>
      <c r="H29" s="8">
        <v>22</v>
      </c>
      <c r="I29" s="8">
        <v>7</v>
      </c>
      <c r="J29" s="8">
        <v>22</v>
      </c>
      <c r="K29" s="8">
        <v>11</v>
      </c>
      <c r="L29" s="8">
        <v>0</v>
      </c>
      <c r="M29" s="8">
        <v>62</v>
      </c>
      <c r="N29" s="8">
        <v>16</v>
      </c>
      <c r="O29" s="8">
        <v>3</v>
      </c>
    </row>
    <row r="30" spans="1:30" ht="17.25" thickBot="1">
      <c r="A30" s="2" t="s">
        <v>0</v>
      </c>
      <c r="B30" s="2" t="s">
        <v>1</v>
      </c>
      <c r="C30" s="2" t="s">
        <v>37</v>
      </c>
      <c r="D30" s="2" t="s">
        <v>8</v>
      </c>
      <c r="E30" s="2" t="s">
        <v>2</v>
      </c>
      <c r="F30" s="7">
        <v>4037</v>
      </c>
      <c r="G30" s="7">
        <v>4027</v>
      </c>
      <c r="H30" s="7">
        <v>1701</v>
      </c>
      <c r="I30" s="8">
        <v>523</v>
      </c>
      <c r="J30" s="7">
        <v>1145</v>
      </c>
      <c r="K30" s="8">
        <v>348</v>
      </c>
      <c r="L30" s="8">
        <v>0</v>
      </c>
      <c r="M30" s="7">
        <v>3717</v>
      </c>
      <c r="N30" s="8">
        <v>310</v>
      </c>
      <c r="O30" s="8">
        <v>10</v>
      </c>
    </row>
    <row r="31" spans="1:30" ht="17.25" thickBot="1">
      <c r="A31" s="2" t="s">
        <v>0</v>
      </c>
      <c r="B31" s="2" t="s">
        <v>1</v>
      </c>
      <c r="C31" s="2" t="s">
        <v>37</v>
      </c>
      <c r="D31" s="2" t="s">
        <v>16</v>
      </c>
      <c r="E31" s="2" t="s">
        <v>10</v>
      </c>
      <c r="F31" s="7">
        <v>65723</v>
      </c>
      <c r="G31" s="7">
        <v>35032</v>
      </c>
      <c r="H31" s="7">
        <v>14181</v>
      </c>
      <c r="I31" s="7">
        <v>5071</v>
      </c>
      <c r="J31" s="7">
        <v>8852</v>
      </c>
      <c r="K31" s="7">
        <v>3791</v>
      </c>
      <c r="L31" s="8">
        <v>0</v>
      </c>
      <c r="M31" s="7">
        <v>31895</v>
      </c>
      <c r="N31" s="7">
        <v>3137</v>
      </c>
      <c r="O31" s="7">
        <v>30691</v>
      </c>
      <c r="P31" s="44" t="str">
        <f>D31</f>
        <v>상동</v>
      </c>
      <c r="Q31" s="53"/>
      <c r="R31" s="53"/>
      <c r="S31" s="54"/>
      <c r="T31" s="30" t="s">
        <v>138</v>
      </c>
      <c r="U31" s="49" t="s">
        <v>136</v>
      </c>
      <c r="V31" s="51"/>
      <c r="W31" s="51"/>
      <c r="X31" s="51"/>
      <c r="Y31" s="50"/>
    </row>
    <row r="32" spans="1:30" ht="17.25" thickBot="1">
      <c r="A32" s="2" t="s">
        <v>0</v>
      </c>
      <c r="B32" s="2" t="s">
        <v>1</v>
      </c>
      <c r="C32" s="2" t="s">
        <v>37</v>
      </c>
      <c r="D32" s="2" t="s">
        <v>16</v>
      </c>
      <c r="E32" s="2" t="s">
        <v>11</v>
      </c>
      <c r="F32" s="7">
        <v>12380</v>
      </c>
      <c r="G32" s="7">
        <v>12342</v>
      </c>
      <c r="H32" s="7">
        <v>5072</v>
      </c>
      <c r="I32" s="7">
        <v>1905</v>
      </c>
      <c r="J32" s="7">
        <v>2986</v>
      </c>
      <c r="K32" s="7">
        <v>1316</v>
      </c>
      <c r="L32" s="8">
        <v>0</v>
      </c>
      <c r="M32" s="7">
        <v>11279</v>
      </c>
      <c r="N32" s="7">
        <v>1063</v>
      </c>
      <c r="O32" s="8">
        <v>38</v>
      </c>
      <c r="P32" s="40" t="str">
        <f>"투표수: "&amp;TEXT((SUM(H31:L31)+N31), "#,##0")</f>
        <v>투표수: 35,032</v>
      </c>
      <c r="Q32" s="42"/>
      <c r="R32" s="18" t="str">
        <f>"유효투표수: "&amp;TEXT(SUM(H31:L31),"#,##0")</f>
        <v>유효투표수: 31,895</v>
      </c>
      <c r="S32" s="16" t="str">
        <f>"무효투표수: "&amp;TEXT(N31, "#,##0")</f>
        <v>무효투표수: 3,137</v>
      </c>
      <c r="T32" s="47" t="s">
        <v>139</v>
      </c>
      <c r="U32" s="77" t="str">
        <f>H27</f>
        <v>더불어민주당
박찬희</v>
      </c>
      <c r="V32" s="77" t="str">
        <f>I27</f>
        <v>더불어민주당
박창길</v>
      </c>
      <c r="W32" s="77" t="str">
        <f>J27</f>
        <v>국민의힘
김건</v>
      </c>
      <c r="X32" s="77" t="str">
        <f>K27</f>
        <v>국민의힘
이병국</v>
      </c>
      <c r="Y32" s="77" t="str">
        <f>L27</f>
        <v xml:space="preserve">
</v>
      </c>
    </row>
    <row r="33" spans="1:30" ht="17.25" thickBot="1">
      <c r="A33" s="2" t="s">
        <v>0</v>
      </c>
      <c r="B33" s="2" t="s">
        <v>1</v>
      </c>
      <c r="C33" s="2" t="s">
        <v>37</v>
      </c>
      <c r="D33" s="2" t="s">
        <v>16</v>
      </c>
      <c r="E33" s="2" t="s">
        <v>12</v>
      </c>
      <c r="F33" s="7">
        <v>53343</v>
      </c>
      <c r="G33" s="7">
        <v>22690</v>
      </c>
      <c r="H33" s="7">
        <v>9109</v>
      </c>
      <c r="I33" s="7">
        <v>3166</v>
      </c>
      <c r="J33" s="7">
        <v>5866</v>
      </c>
      <c r="K33" s="7">
        <v>2475</v>
      </c>
      <c r="L33" s="8">
        <v>0</v>
      </c>
      <c r="M33" s="7">
        <v>20616</v>
      </c>
      <c r="N33" s="7">
        <v>2074</v>
      </c>
      <c r="O33" s="7">
        <v>30653</v>
      </c>
      <c r="P33" s="17" t="str">
        <f>"투표율: "&amp;TEXT(((G31/F31)*100), "0.00")&amp;"%"</f>
        <v>투표율: 53.30%</v>
      </c>
      <c r="Q33" s="12" t="str">
        <f>"기권율: "&amp;TEXT(((O31/F31)*100), "0.00")&amp;"%"</f>
        <v>기권율: 46.70%</v>
      </c>
      <c r="R33" s="17" t="str">
        <f>"유효투표율: "&amp;TEXT(((M31/G31)*100), "0.00")&amp;"%"</f>
        <v>유효투표율: 91.05%</v>
      </c>
      <c r="S33" s="12" t="str">
        <f>"무효투표율: "&amp;TEXT(((N31/G31)*100), "0.00")&amp;"%"</f>
        <v>무효투표율: 8.95%</v>
      </c>
      <c r="T33" s="48"/>
      <c r="U33" s="25" t="str">
        <f>TEXT(H31,"#,##0")&amp;CHAR(10)&amp;"("&amp;TEXT((ROUND((H31/(SUM($H31:$L31))*100),2)),"0.00")&amp;"%)"</f>
        <v>14,181
(44.46%)</v>
      </c>
      <c r="V33" s="25" t="str">
        <f>TEXT(I31,"#,##0")&amp;CHAR(10)&amp;"("&amp;TEXT((ROUND((I31/(SUM($H31:$L31))*100),2)),"0.00")&amp;"%)"</f>
        <v>5,071
(15.90%)</v>
      </c>
      <c r="W33" s="25" t="str">
        <f>TEXT(J31,"#,##0")&amp;CHAR(10)&amp;"("&amp;TEXT((ROUND((J31/(SUM($H31:$L31))*100),2)),"0.00")&amp;"%)"</f>
        <v>8,852
(27.75%)</v>
      </c>
      <c r="X33" s="25" t="str">
        <f>TEXT(K31,"#,##0")&amp;CHAR(10)&amp;"("&amp;TEXT((ROUND((K31/(SUM($H31:$L31))*100),2)),"0.00")&amp;"%)"</f>
        <v>3,791
(11.89%)</v>
      </c>
      <c r="Y33" s="25" t="str">
        <f>TEXT(L31,"#,##0")&amp;CHAR(10)&amp;"("&amp;TEXT((ROUND((L31/(SUM($H31:$L31))*100),2)),"0.00")&amp;"%)"</f>
        <v>0
(0.00%)</v>
      </c>
      <c r="Z33">
        <f>SUBSTITUTE(SUBSTITUTE(LEFT(U33,FIND("(",U33)-1),",",""),CHAR(10),"")+0</f>
        <v>14181</v>
      </c>
      <c r="AA33">
        <f>SUBSTITUTE(SUBSTITUTE(LEFT(V33,FIND("(",V33)-1),",",""),CHAR(10),"")+0</f>
        <v>5071</v>
      </c>
      <c r="AB33">
        <f>SUBSTITUTE(SUBSTITUTE(LEFT(W33,FIND("(",W33)-1),",",""),CHAR(10),"")+0</f>
        <v>8852</v>
      </c>
      <c r="AC33">
        <f>SUBSTITUTE(SUBSTITUTE(LEFT(X33,FIND("(",X33)-1),",",""),CHAR(10),"")+0</f>
        <v>3791</v>
      </c>
      <c r="AD33">
        <f>SUBSTITUTE(SUBSTITUTE(LEFT(Y33,FIND("(",Y33)-1),",",""),CHAR(10),"")+0</f>
        <v>0</v>
      </c>
    </row>
    <row r="34" spans="1:30">
      <c r="A34" s="2" t="s">
        <v>0</v>
      </c>
      <c r="B34" s="2" t="s">
        <v>1</v>
      </c>
      <c r="C34" s="2" t="s">
        <v>37</v>
      </c>
      <c r="D34" s="2" t="s">
        <v>22</v>
      </c>
      <c r="E34" s="2" t="s">
        <v>2</v>
      </c>
      <c r="F34" s="8">
        <v>0</v>
      </c>
      <c r="G34" s="8">
        <v>74</v>
      </c>
      <c r="H34" s="8">
        <v>27</v>
      </c>
      <c r="I34" s="8">
        <v>10</v>
      </c>
      <c r="J34" s="8">
        <v>20</v>
      </c>
      <c r="K34" s="8">
        <v>7</v>
      </c>
      <c r="L34" s="8">
        <v>0</v>
      </c>
      <c r="M34" s="8">
        <v>64</v>
      </c>
      <c r="N34" s="8">
        <v>10</v>
      </c>
      <c r="O34" s="8">
        <v>-74</v>
      </c>
    </row>
    <row r="35" spans="1:30" ht="40.5">
      <c r="A35" s="2" t="s">
        <v>0</v>
      </c>
      <c r="B35" s="2" t="s">
        <v>1</v>
      </c>
      <c r="C35" s="2" t="s">
        <v>42</v>
      </c>
      <c r="D35" s="2" t="s">
        <v>2</v>
      </c>
      <c r="E35" s="2" t="s">
        <v>2</v>
      </c>
      <c r="F35" s="2" t="s">
        <v>2</v>
      </c>
      <c r="G35" s="2" t="s">
        <v>2</v>
      </c>
      <c r="H35" s="3" t="s">
        <v>43</v>
      </c>
      <c r="I35" s="3" t="s">
        <v>44</v>
      </c>
      <c r="J35" s="3" t="s">
        <v>45</v>
      </c>
      <c r="K35" s="3" t="s">
        <v>46</v>
      </c>
      <c r="L35" s="3" t="s">
        <v>47</v>
      </c>
      <c r="M35" s="2" t="s">
        <v>2</v>
      </c>
      <c r="N35" s="2" t="s">
        <v>2</v>
      </c>
      <c r="O35" s="2" t="s">
        <v>2</v>
      </c>
    </row>
    <row r="36" spans="1:30">
      <c r="A36" s="2" t="s">
        <v>0</v>
      </c>
      <c r="B36" s="2" t="s">
        <v>1</v>
      </c>
      <c r="C36" s="2" t="s">
        <v>42</v>
      </c>
      <c r="D36" s="2" t="s">
        <v>6</v>
      </c>
      <c r="E36" s="2" t="s">
        <v>2</v>
      </c>
      <c r="F36" s="7">
        <v>112051</v>
      </c>
      <c r="G36" s="7">
        <v>58833</v>
      </c>
      <c r="H36" s="7">
        <v>19776</v>
      </c>
      <c r="I36" s="7">
        <v>9168</v>
      </c>
      <c r="J36" s="7">
        <v>18194</v>
      </c>
      <c r="K36" s="7">
        <v>6171</v>
      </c>
      <c r="L36" s="7">
        <v>2197</v>
      </c>
      <c r="M36" s="7">
        <v>55506</v>
      </c>
      <c r="N36" s="7">
        <v>3327</v>
      </c>
      <c r="O36" s="7">
        <v>53218</v>
      </c>
    </row>
    <row r="37" spans="1:30">
      <c r="A37" s="2" t="s">
        <v>0</v>
      </c>
      <c r="B37" s="2" t="s">
        <v>1</v>
      </c>
      <c r="C37" s="2" t="s">
        <v>42</v>
      </c>
      <c r="D37" s="2" t="s">
        <v>7</v>
      </c>
      <c r="E37" s="2" t="s">
        <v>2</v>
      </c>
      <c r="F37" s="8">
        <v>127</v>
      </c>
      <c r="G37" s="8">
        <v>120</v>
      </c>
      <c r="H37" s="8">
        <v>42</v>
      </c>
      <c r="I37" s="8">
        <v>17</v>
      </c>
      <c r="J37" s="8">
        <v>37</v>
      </c>
      <c r="K37" s="8">
        <v>11</v>
      </c>
      <c r="L37" s="8">
        <v>2</v>
      </c>
      <c r="M37" s="8">
        <v>109</v>
      </c>
      <c r="N37" s="8">
        <v>11</v>
      </c>
      <c r="O37" s="8">
        <v>7</v>
      </c>
    </row>
    <row r="38" spans="1:30" ht="17.25" thickBot="1">
      <c r="A38" s="2" t="s">
        <v>0</v>
      </c>
      <c r="B38" s="2" t="s">
        <v>1</v>
      </c>
      <c r="C38" s="2" t="s">
        <v>42</v>
      </c>
      <c r="D38" s="2" t="s">
        <v>8</v>
      </c>
      <c r="E38" s="2" t="s">
        <v>2</v>
      </c>
      <c r="F38" s="7">
        <v>7033</v>
      </c>
      <c r="G38" s="7">
        <v>7018</v>
      </c>
      <c r="H38" s="7">
        <v>2503</v>
      </c>
      <c r="I38" s="7">
        <v>1052</v>
      </c>
      <c r="J38" s="7">
        <v>2168</v>
      </c>
      <c r="K38" s="8">
        <v>622</v>
      </c>
      <c r="L38" s="8">
        <v>319</v>
      </c>
      <c r="M38" s="7">
        <v>6664</v>
      </c>
      <c r="N38" s="8">
        <v>354</v>
      </c>
      <c r="O38" s="8">
        <v>15</v>
      </c>
    </row>
    <row r="39" spans="1:30" ht="17.25" thickBot="1">
      <c r="A39" s="2" t="s">
        <v>0</v>
      </c>
      <c r="B39" s="2" t="s">
        <v>1</v>
      </c>
      <c r="C39" s="2" t="s">
        <v>42</v>
      </c>
      <c r="D39" s="2" t="s">
        <v>15</v>
      </c>
      <c r="E39" s="2" t="s">
        <v>10</v>
      </c>
      <c r="F39" s="7">
        <v>104891</v>
      </c>
      <c r="G39" s="7">
        <v>51647</v>
      </c>
      <c r="H39" s="7">
        <v>17222</v>
      </c>
      <c r="I39" s="7">
        <v>8093</v>
      </c>
      <c r="J39" s="7">
        <v>15965</v>
      </c>
      <c r="K39" s="7">
        <v>5532</v>
      </c>
      <c r="L39" s="7">
        <v>1873</v>
      </c>
      <c r="M39" s="7">
        <v>48685</v>
      </c>
      <c r="N39" s="7">
        <v>2962</v>
      </c>
      <c r="O39" s="7">
        <v>53244</v>
      </c>
      <c r="P39" s="44" t="str">
        <f>D39</f>
        <v>신중동</v>
      </c>
      <c r="Q39" s="53"/>
      <c r="R39" s="53"/>
      <c r="S39" s="54"/>
      <c r="T39" s="30" t="s">
        <v>138</v>
      </c>
      <c r="U39" s="49" t="s">
        <v>136</v>
      </c>
      <c r="V39" s="51"/>
      <c r="W39" s="51"/>
      <c r="X39" s="51"/>
      <c r="Y39" s="50"/>
    </row>
    <row r="40" spans="1:30" ht="17.25" thickBot="1">
      <c r="A40" s="2" t="s">
        <v>0</v>
      </c>
      <c r="B40" s="2" t="s">
        <v>1</v>
      </c>
      <c r="C40" s="2" t="s">
        <v>42</v>
      </c>
      <c r="D40" s="2" t="s">
        <v>15</v>
      </c>
      <c r="E40" s="2" t="s">
        <v>11</v>
      </c>
      <c r="F40" s="7">
        <v>14948</v>
      </c>
      <c r="G40" s="7">
        <v>14921</v>
      </c>
      <c r="H40" s="7">
        <v>5245</v>
      </c>
      <c r="I40" s="7">
        <v>2529</v>
      </c>
      <c r="J40" s="7">
        <v>4334</v>
      </c>
      <c r="K40" s="7">
        <v>1482</v>
      </c>
      <c r="L40" s="8">
        <v>437</v>
      </c>
      <c r="M40" s="7">
        <v>14027</v>
      </c>
      <c r="N40" s="8">
        <v>894</v>
      </c>
      <c r="O40" s="8">
        <v>27</v>
      </c>
      <c r="P40" s="40" t="str">
        <f>"투표수: "&amp;TEXT((SUM(H39:L39)+N39), "#,##0")</f>
        <v>투표수: 51,647</v>
      </c>
      <c r="Q40" s="42"/>
      <c r="R40" s="18" t="str">
        <f>"유효투표수: "&amp;TEXT(SUM(H39:L39),"#,##0")</f>
        <v>유효투표수: 48,685</v>
      </c>
      <c r="S40" s="16" t="str">
        <f>"무효투표수: "&amp;TEXT(N39, "#,##0")</f>
        <v>무효투표수: 2,962</v>
      </c>
      <c r="T40" s="47" t="s">
        <v>139</v>
      </c>
      <c r="U40" s="77" t="str">
        <f>H35</f>
        <v>더불어민주당
박성호</v>
      </c>
      <c r="V40" s="77" t="str">
        <f>I35</f>
        <v>더불어민주당
양정숙</v>
      </c>
      <c r="W40" s="77" t="str">
        <f>J35</f>
        <v>국민의힘
장성철</v>
      </c>
      <c r="X40" s="77" t="str">
        <f>K35</f>
        <v>국민의힘
송원기</v>
      </c>
      <c r="Y40" s="77" t="str">
        <f>L35</f>
        <v>정의당
이미숙</v>
      </c>
    </row>
    <row r="41" spans="1:30" ht="17.25" thickBot="1">
      <c r="A41" s="2" t="s">
        <v>0</v>
      </c>
      <c r="B41" s="2" t="s">
        <v>1</v>
      </c>
      <c r="C41" s="2" t="s">
        <v>42</v>
      </c>
      <c r="D41" s="2" t="s">
        <v>15</v>
      </c>
      <c r="E41" s="2" t="s">
        <v>12</v>
      </c>
      <c r="F41" s="7">
        <v>89943</v>
      </c>
      <c r="G41" s="7">
        <v>36726</v>
      </c>
      <c r="H41" s="7">
        <v>11977</v>
      </c>
      <c r="I41" s="7">
        <v>5564</v>
      </c>
      <c r="J41" s="7">
        <v>11631</v>
      </c>
      <c r="K41" s="7">
        <v>4050</v>
      </c>
      <c r="L41" s="7">
        <v>1436</v>
      </c>
      <c r="M41" s="7">
        <v>34658</v>
      </c>
      <c r="N41" s="7">
        <v>2068</v>
      </c>
      <c r="O41" s="7">
        <v>53217</v>
      </c>
      <c r="P41" s="17" t="str">
        <f>"투표율: "&amp;TEXT(((G39/F39)*100), "0.00")&amp;"%"</f>
        <v>투표율: 49.24%</v>
      </c>
      <c r="Q41" s="12" t="str">
        <f>"기권율: "&amp;TEXT(((O39/F39)*100), "0.00")&amp;"%"</f>
        <v>기권율: 50.76%</v>
      </c>
      <c r="R41" s="17" t="str">
        <f>"유효투표율: "&amp;TEXT(((M39/G39)*100), "0.00")&amp;"%"</f>
        <v>유효투표율: 94.26%</v>
      </c>
      <c r="S41" s="12" t="str">
        <f>"무효투표율: "&amp;TEXT(((N39/G39)*100), "0.00")&amp;"%"</f>
        <v>무효투표율: 5.74%</v>
      </c>
      <c r="T41" s="48"/>
      <c r="U41" s="25" t="str">
        <f>TEXT(H39,"#,##0")&amp;CHAR(10)&amp;"("&amp;TEXT((ROUND((H39/(SUM($H39:$L39))*100),2)),"0.00")&amp;"%)"</f>
        <v>17,222
(35.37%)</v>
      </c>
      <c r="V41" s="25" t="str">
        <f>TEXT(I39,"#,##0")&amp;CHAR(10)&amp;"("&amp;TEXT((ROUND((I39/(SUM($H39:$L39))*100),2)),"0.00")&amp;"%)"</f>
        <v>8,093
(16.62%)</v>
      </c>
      <c r="W41" s="25" t="str">
        <f>TEXT(J39,"#,##0")&amp;CHAR(10)&amp;"("&amp;TEXT((ROUND((J39/(SUM($H39:$L39))*100),2)),"0.00")&amp;"%)"</f>
        <v>15,965
(32.79%)</v>
      </c>
      <c r="X41" s="25" t="str">
        <f>TEXT(K39,"#,##0")&amp;CHAR(10)&amp;"("&amp;TEXT((ROUND((K39/(SUM($H39:$L39))*100),2)),"0.00")&amp;"%)"</f>
        <v>5,532
(11.36%)</v>
      </c>
      <c r="Y41" s="25" t="str">
        <f>TEXT(L39,"#,##0")&amp;CHAR(10)&amp;"("&amp;TEXT((ROUND((L39/(SUM($H39:$L39))*100),2)),"0.00")&amp;"%)"</f>
        <v>1,873
(3.85%)</v>
      </c>
      <c r="Z41">
        <f>SUBSTITUTE(SUBSTITUTE(LEFT(U41,FIND("(",U41)-1),",",""),CHAR(10),"")+0</f>
        <v>17222</v>
      </c>
      <c r="AA41">
        <f>SUBSTITUTE(SUBSTITUTE(LEFT(V41,FIND("(",V41)-1),",",""),CHAR(10),"")+0</f>
        <v>8093</v>
      </c>
      <c r="AB41">
        <f>SUBSTITUTE(SUBSTITUTE(LEFT(W41,FIND("(",W41)-1),",",""),CHAR(10),"")+0</f>
        <v>15965</v>
      </c>
      <c r="AC41">
        <f>SUBSTITUTE(SUBSTITUTE(LEFT(X41,FIND("(",X41)-1),",",""),CHAR(10),"")+0</f>
        <v>5532</v>
      </c>
      <c r="AD41">
        <f>SUBSTITUTE(SUBSTITUTE(LEFT(Y41,FIND("(",Y41)-1),",",""),CHAR(10),"")+0</f>
        <v>1873</v>
      </c>
    </row>
    <row r="42" spans="1:30">
      <c r="A42" s="2" t="s">
        <v>0</v>
      </c>
      <c r="B42" s="2" t="s">
        <v>1</v>
      </c>
      <c r="C42" s="2" t="s">
        <v>42</v>
      </c>
      <c r="D42" s="2" t="s">
        <v>22</v>
      </c>
      <c r="E42" s="2" t="s">
        <v>2</v>
      </c>
      <c r="F42" s="8">
        <v>0</v>
      </c>
      <c r="G42" s="8">
        <v>48</v>
      </c>
      <c r="H42" s="8">
        <v>9</v>
      </c>
      <c r="I42" s="8">
        <v>6</v>
      </c>
      <c r="J42" s="8">
        <v>24</v>
      </c>
      <c r="K42" s="8">
        <v>6</v>
      </c>
      <c r="L42" s="8">
        <v>3</v>
      </c>
      <c r="M42" s="8">
        <v>48</v>
      </c>
      <c r="N42" s="8">
        <v>0</v>
      </c>
      <c r="O42" s="8">
        <v>-48</v>
      </c>
    </row>
    <row r="43" spans="1:30" ht="40.5">
      <c r="A43" s="2" t="s">
        <v>0</v>
      </c>
      <c r="B43" s="2" t="s">
        <v>1</v>
      </c>
      <c r="C43" s="2" t="s">
        <v>48</v>
      </c>
      <c r="D43" s="2" t="s">
        <v>2</v>
      </c>
      <c r="E43" s="2" t="s">
        <v>2</v>
      </c>
      <c r="F43" s="2" t="s">
        <v>2</v>
      </c>
      <c r="G43" s="2" t="s">
        <v>2</v>
      </c>
      <c r="H43" s="3" t="s">
        <v>49</v>
      </c>
      <c r="I43" s="3" t="s">
        <v>50</v>
      </c>
      <c r="J43" s="3" t="s">
        <v>51</v>
      </c>
      <c r="K43" s="3" t="s">
        <v>52</v>
      </c>
      <c r="L43" s="3" t="s">
        <v>53</v>
      </c>
      <c r="M43" s="2" t="s">
        <v>2</v>
      </c>
      <c r="N43" s="2" t="s">
        <v>2</v>
      </c>
      <c r="O43" s="2" t="s">
        <v>2</v>
      </c>
    </row>
    <row r="44" spans="1:30">
      <c r="A44" s="2" t="s">
        <v>0</v>
      </c>
      <c r="B44" s="2" t="s">
        <v>1</v>
      </c>
      <c r="C44" s="2" t="s">
        <v>48</v>
      </c>
      <c r="D44" s="2" t="s">
        <v>6</v>
      </c>
      <c r="E44" s="2" t="s">
        <v>2</v>
      </c>
      <c r="F44" s="7">
        <v>72828</v>
      </c>
      <c r="G44" s="7">
        <v>35586</v>
      </c>
      <c r="H44" s="7">
        <v>16024</v>
      </c>
      <c r="I44" s="7">
        <v>11138</v>
      </c>
      <c r="J44" s="7">
        <v>5259</v>
      </c>
      <c r="K44" s="7">
        <v>1571</v>
      </c>
      <c r="L44" s="8">
        <v>665</v>
      </c>
      <c r="M44" s="7">
        <v>34657</v>
      </c>
      <c r="N44" s="8">
        <v>929</v>
      </c>
      <c r="O44" s="7">
        <v>37242</v>
      </c>
    </row>
    <row r="45" spans="1:30">
      <c r="A45" s="2" t="s">
        <v>0</v>
      </c>
      <c r="B45" s="2" t="s">
        <v>1</v>
      </c>
      <c r="C45" s="2" t="s">
        <v>48</v>
      </c>
      <c r="D45" s="2" t="s">
        <v>7</v>
      </c>
      <c r="E45" s="2" t="s">
        <v>2</v>
      </c>
      <c r="F45" s="8">
        <v>151</v>
      </c>
      <c r="G45" s="8">
        <v>139</v>
      </c>
      <c r="H45" s="8">
        <v>37</v>
      </c>
      <c r="I45" s="8">
        <v>21</v>
      </c>
      <c r="J45" s="8">
        <v>22</v>
      </c>
      <c r="K45" s="8">
        <v>6</v>
      </c>
      <c r="L45" s="8">
        <v>7</v>
      </c>
      <c r="M45" s="8">
        <v>93</v>
      </c>
      <c r="N45" s="8">
        <v>46</v>
      </c>
      <c r="O45" s="8">
        <v>12</v>
      </c>
    </row>
    <row r="46" spans="1:30" ht="17.25" thickBot="1">
      <c r="A46" s="2" t="s">
        <v>0</v>
      </c>
      <c r="B46" s="2" t="s">
        <v>1</v>
      </c>
      <c r="C46" s="2" t="s">
        <v>48</v>
      </c>
      <c r="D46" s="2" t="s">
        <v>8</v>
      </c>
      <c r="E46" s="2" t="s">
        <v>2</v>
      </c>
      <c r="F46" s="7">
        <v>3460</v>
      </c>
      <c r="G46" s="7">
        <v>3450</v>
      </c>
      <c r="H46" s="7">
        <v>1715</v>
      </c>
      <c r="I46" s="7">
        <v>1071</v>
      </c>
      <c r="J46" s="8">
        <v>360</v>
      </c>
      <c r="K46" s="8">
        <v>145</v>
      </c>
      <c r="L46" s="8">
        <v>70</v>
      </c>
      <c r="M46" s="7">
        <v>3361</v>
      </c>
      <c r="N46" s="8">
        <v>89</v>
      </c>
      <c r="O46" s="8">
        <v>10</v>
      </c>
    </row>
    <row r="47" spans="1:30" ht="17.25" thickBot="1">
      <c r="A47" s="2" t="s">
        <v>0</v>
      </c>
      <c r="B47" s="2" t="s">
        <v>1</v>
      </c>
      <c r="C47" s="2" t="s">
        <v>48</v>
      </c>
      <c r="D47" s="2" t="s">
        <v>17</v>
      </c>
      <c r="E47" s="2" t="s">
        <v>10</v>
      </c>
      <c r="F47" s="7">
        <v>69217</v>
      </c>
      <c r="G47" s="7">
        <v>31963</v>
      </c>
      <c r="H47" s="7">
        <v>14260</v>
      </c>
      <c r="I47" s="7">
        <v>10032</v>
      </c>
      <c r="J47" s="7">
        <v>4874</v>
      </c>
      <c r="K47" s="7">
        <v>1418</v>
      </c>
      <c r="L47" s="8">
        <v>587</v>
      </c>
      <c r="M47" s="7">
        <v>31171</v>
      </c>
      <c r="N47" s="8">
        <v>792</v>
      </c>
      <c r="O47" s="7">
        <v>37254</v>
      </c>
      <c r="P47" s="44" t="str">
        <f>D47</f>
        <v>대산동</v>
      </c>
      <c r="Q47" s="53"/>
      <c r="R47" s="53"/>
      <c r="S47" s="54"/>
      <c r="T47" s="30" t="s">
        <v>138</v>
      </c>
      <c r="U47" s="49" t="s">
        <v>136</v>
      </c>
      <c r="V47" s="51"/>
      <c r="W47" s="51"/>
      <c r="X47" s="51"/>
      <c r="Y47" s="50"/>
    </row>
    <row r="48" spans="1:30" ht="17.25" thickBot="1">
      <c r="A48" s="2" t="s">
        <v>0</v>
      </c>
      <c r="B48" s="2" t="s">
        <v>1</v>
      </c>
      <c r="C48" s="2" t="s">
        <v>48</v>
      </c>
      <c r="D48" s="2" t="s">
        <v>17</v>
      </c>
      <c r="E48" s="2" t="s">
        <v>11</v>
      </c>
      <c r="F48" s="7">
        <v>10727</v>
      </c>
      <c r="G48" s="7">
        <v>10705</v>
      </c>
      <c r="H48" s="7">
        <v>5021</v>
      </c>
      <c r="I48" s="7">
        <v>3361</v>
      </c>
      <c r="J48" s="7">
        <v>1544</v>
      </c>
      <c r="K48" s="8">
        <v>434</v>
      </c>
      <c r="L48" s="8">
        <v>139</v>
      </c>
      <c r="M48" s="7">
        <v>10499</v>
      </c>
      <c r="N48" s="8">
        <v>206</v>
      </c>
      <c r="O48" s="8">
        <v>22</v>
      </c>
      <c r="P48" s="40" t="str">
        <f>"투표수: "&amp;TEXT((SUM(H47:L47)+N47), "#,##0")</f>
        <v>투표수: 31,963</v>
      </c>
      <c r="Q48" s="42"/>
      <c r="R48" s="18" t="str">
        <f>"유효투표수: "&amp;TEXT(SUM(H47:L47),"#,##0")</f>
        <v>유효투표수: 31,171</v>
      </c>
      <c r="S48" s="16" t="str">
        <f>"무효투표수: "&amp;TEXT(N47, "#,##0")</f>
        <v>무효투표수: 792</v>
      </c>
      <c r="T48" s="47" t="s">
        <v>140</v>
      </c>
      <c r="U48" s="77" t="str">
        <f>H43</f>
        <v>더불어민주당
최성운</v>
      </c>
      <c r="V48" s="77" t="str">
        <f>I43</f>
        <v>국민의힘
정창곤</v>
      </c>
      <c r="W48" s="77" t="str">
        <f>J43</f>
        <v>국민의힘
이상열</v>
      </c>
      <c r="X48" s="77" t="str">
        <f>K43</f>
        <v>정의당
안경선</v>
      </c>
      <c r="Y48" s="77" t="str">
        <f>L43</f>
        <v>무소속
예승현</v>
      </c>
    </row>
    <row r="49" spans="1:30" ht="17.25" thickBot="1">
      <c r="A49" s="2" t="s">
        <v>0</v>
      </c>
      <c r="B49" s="2" t="s">
        <v>1</v>
      </c>
      <c r="C49" s="2" t="s">
        <v>48</v>
      </c>
      <c r="D49" s="2" t="s">
        <v>17</v>
      </c>
      <c r="E49" s="2" t="s">
        <v>12</v>
      </c>
      <c r="F49" s="7">
        <v>58490</v>
      </c>
      <c r="G49" s="7">
        <v>21258</v>
      </c>
      <c r="H49" s="7">
        <v>9239</v>
      </c>
      <c r="I49" s="7">
        <v>6671</v>
      </c>
      <c r="J49" s="7">
        <v>3330</v>
      </c>
      <c r="K49" s="8">
        <v>984</v>
      </c>
      <c r="L49" s="8">
        <v>448</v>
      </c>
      <c r="M49" s="7">
        <v>20672</v>
      </c>
      <c r="N49" s="8">
        <v>586</v>
      </c>
      <c r="O49" s="7">
        <v>37232</v>
      </c>
      <c r="P49" s="17" t="str">
        <f>"투표율: "&amp;TEXT(((G47/F47)*100), "0.00")&amp;"%"</f>
        <v>투표율: 46.18%</v>
      </c>
      <c r="Q49" s="12" t="str">
        <f>"기권율: "&amp;TEXT(((O47/F47)*100), "0.00")&amp;"%"</f>
        <v>기권율: 53.82%</v>
      </c>
      <c r="R49" s="17" t="str">
        <f>"유효투표율: "&amp;TEXT(((M47/G47)*100), "0.00")&amp;"%"</f>
        <v>유효투표율: 97.52%</v>
      </c>
      <c r="S49" s="12" t="str">
        <f>"무효투표율: "&amp;TEXT(((N47/G47)*100), "0.00")&amp;"%"</f>
        <v>무효투표율: 2.48%</v>
      </c>
      <c r="T49" s="48"/>
      <c r="U49" s="25" t="str">
        <f>TEXT(H47,"#,##0")&amp;CHAR(10)&amp;"("&amp;TEXT((ROUND((H47/(SUM($H47:$L47))*100),2)),"0.00")&amp;"%)"</f>
        <v>14,260
(45.75%)</v>
      </c>
      <c r="V49" s="25" t="str">
        <f>TEXT(I47,"#,##0")&amp;CHAR(10)&amp;"("&amp;TEXT((ROUND((I47/(SUM($H47:$L47))*100),2)),"0.00")&amp;"%)"</f>
        <v>10,032
(32.18%)</v>
      </c>
      <c r="W49" s="25" t="str">
        <f>TEXT(J47,"#,##0")&amp;CHAR(10)&amp;"("&amp;TEXT((ROUND((J47/(SUM($H47:$L47))*100),2)),"0.00")&amp;"%)"</f>
        <v>4,874
(15.64%)</v>
      </c>
      <c r="X49" s="25" t="str">
        <f>TEXT(K47,"#,##0")&amp;CHAR(10)&amp;"("&amp;TEXT((ROUND((K47/(SUM($H47:$L47))*100),2)),"0.00")&amp;"%)"</f>
        <v>1,418
(4.55%)</v>
      </c>
      <c r="Y49" s="25" t="str">
        <f>TEXT(L47,"#,##0")&amp;CHAR(10)&amp;"("&amp;TEXT((ROUND((L47/(SUM($H47:$L47))*100),2)),"0.00")&amp;"%)"</f>
        <v>587
(1.88%)</v>
      </c>
      <c r="Z49">
        <f>SUBSTITUTE(SUBSTITUTE(LEFT(U49,FIND("(",U49)-1),",",""),CHAR(10),"")+0</f>
        <v>14260</v>
      </c>
      <c r="AA49">
        <f>SUBSTITUTE(SUBSTITUTE(LEFT(V49,FIND("(",V49)-1),",",""),CHAR(10),"")+0</f>
        <v>10032</v>
      </c>
      <c r="AB49">
        <f>SUBSTITUTE(SUBSTITUTE(LEFT(W49,FIND("(",W49)-1),",",""),CHAR(10),"")+0</f>
        <v>4874</v>
      </c>
      <c r="AC49">
        <f>SUBSTITUTE(SUBSTITUTE(LEFT(X49,FIND("(",X49)-1),",",""),CHAR(10),"")+0</f>
        <v>1418</v>
      </c>
      <c r="AD49">
        <f>SUBSTITUTE(SUBSTITUTE(LEFT(Y49,FIND("(",Y49)-1),",",""),CHAR(10),"")+0</f>
        <v>587</v>
      </c>
    </row>
    <row r="50" spans="1:30">
      <c r="A50" s="2" t="s">
        <v>0</v>
      </c>
      <c r="B50" s="2" t="s">
        <v>1</v>
      </c>
      <c r="C50" s="2" t="s">
        <v>48</v>
      </c>
      <c r="D50" s="2" t="s">
        <v>22</v>
      </c>
      <c r="E50" s="2" t="s">
        <v>2</v>
      </c>
      <c r="F50" s="8">
        <v>0</v>
      </c>
      <c r="G50" s="8">
        <v>34</v>
      </c>
      <c r="H50" s="8">
        <v>12</v>
      </c>
      <c r="I50" s="8">
        <v>14</v>
      </c>
      <c r="J50" s="8">
        <v>3</v>
      </c>
      <c r="K50" s="8">
        <v>2</v>
      </c>
      <c r="L50" s="8">
        <v>1</v>
      </c>
      <c r="M50" s="8">
        <v>32</v>
      </c>
      <c r="N50" s="8">
        <v>2</v>
      </c>
      <c r="O50" s="8">
        <v>-34</v>
      </c>
    </row>
    <row r="51" spans="1:30" ht="40.5">
      <c r="A51" s="2" t="s">
        <v>0</v>
      </c>
      <c r="B51" s="2" t="s">
        <v>1</v>
      </c>
      <c r="C51" s="2" t="s">
        <v>54</v>
      </c>
      <c r="D51" s="2" t="s">
        <v>2</v>
      </c>
      <c r="E51" s="2" t="s">
        <v>2</v>
      </c>
      <c r="F51" s="2" t="s">
        <v>2</v>
      </c>
      <c r="G51" s="2" t="s">
        <v>2</v>
      </c>
      <c r="H51" s="3" t="s">
        <v>55</v>
      </c>
      <c r="I51" s="3" t="s">
        <v>56</v>
      </c>
      <c r="J51" s="3" t="s">
        <v>57</v>
      </c>
      <c r="K51" s="3" t="s">
        <v>58</v>
      </c>
      <c r="L51" s="3" t="s">
        <v>5</v>
      </c>
      <c r="M51" s="2" t="s">
        <v>2</v>
      </c>
      <c r="N51" s="2" t="s">
        <v>2</v>
      </c>
      <c r="O51" s="2" t="s">
        <v>2</v>
      </c>
    </row>
    <row r="52" spans="1:30">
      <c r="A52" s="2" t="s">
        <v>0</v>
      </c>
      <c r="B52" s="2" t="s">
        <v>1</v>
      </c>
      <c r="C52" s="2" t="s">
        <v>54</v>
      </c>
      <c r="D52" s="2" t="s">
        <v>6</v>
      </c>
      <c r="E52" s="2" t="s">
        <v>2</v>
      </c>
      <c r="F52" s="7">
        <v>50236</v>
      </c>
      <c r="G52" s="7">
        <v>25352</v>
      </c>
      <c r="H52" s="7">
        <v>12623</v>
      </c>
      <c r="I52" s="7">
        <v>8717</v>
      </c>
      <c r="J52" s="7">
        <v>2567</v>
      </c>
      <c r="K52" s="8">
        <v>593</v>
      </c>
      <c r="L52" s="8">
        <v>0</v>
      </c>
      <c r="M52" s="7">
        <v>24500</v>
      </c>
      <c r="N52" s="8">
        <v>852</v>
      </c>
      <c r="O52" s="7">
        <v>24884</v>
      </c>
    </row>
    <row r="53" spans="1:30">
      <c r="A53" s="2" t="s">
        <v>0</v>
      </c>
      <c r="B53" s="2" t="s">
        <v>1</v>
      </c>
      <c r="C53" s="2" t="s">
        <v>54</v>
      </c>
      <c r="D53" s="2" t="s">
        <v>7</v>
      </c>
      <c r="E53" s="2" t="s">
        <v>2</v>
      </c>
      <c r="F53" s="8">
        <v>53</v>
      </c>
      <c r="G53" s="8">
        <v>49</v>
      </c>
      <c r="H53" s="8">
        <v>23</v>
      </c>
      <c r="I53" s="8">
        <v>13</v>
      </c>
      <c r="J53" s="8">
        <v>6</v>
      </c>
      <c r="K53" s="8">
        <v>2</v>
      </c>
      <c r="L53" s="8">
        <v>0</v>
      </c>
      <c r="M53" s="8">
        <v>44</v>
      </c>
      <c r="N53" s="8">
        <v>5</v>
      </c>
      <c r="O53" s="8">
        <v>4</v>
      </c>
    </row>
    <row r="54" spans="1:30" ht="17.25" thickBot="1">
      <c r="A54" s="2" t="s">
        <v>0</v>
      </c>
      <c r="B54" s="2" t="s">
        <v>1</v>
      </c>
      <c r="C54" s="2" t="s">
        <v>54</v>
      </c>
      <c r="D54" s="2" t="s">
        <v>8</v>
      </c>
      <c r="E54" s="2" t="s">
        <v>2</v>
      </c>
      <c r="F54" s="7">
        <v>2863</v>
      </c>
      <c r="G54" s="7">
        <v>2849</v>
      </c>
      <c r="H54" s="7">
        <v>1619</v>
      </c>
      <c r="I54" s="8">
        <v>996</v>
      </c>
      <c r="J54" s="8">
        <v>145</v>
      </c>
      <c r="K54" s="8">
        <v>41</v>
      </c>
      <c r="L54" s="8">
        <v>0</v>
      </c>
      <c r="M54" s="7">
        <v>2801</v>
      </c>
      <c r="N54" s="8">
        <v>48</v>
      </c>
      <c r="O54" s="8">
        <v>14</v>
      </c>
    </row>
    <row r="55" spans="1:30" ht="17.25" thickBot="1">
      <c r="A55" s="2" t="s">
        <v>0</v>
      </c>
      <c r="B55" s="2" t="s">
        <v>1</v>
      </c>
      <c r="C55" s="2" t="s">
        <v>54</v>
      </c>
      <c r="D55" s="2" t="s">
        <v>18</v>
      </c>
      <c r="E55" s="2" t="s">
        <v>10</v>
      </c>
      <c r="F55" s="7">
        <v>47320</v>
      </c>
      <c r="G55" s="7">
        <v>22371</v>
      </c>
      <c r="H55" s="7">
        <v>10952</v>
      </c>
      <c r="I55" s="7">
        <v>7686</v>
      </c>
      <c r="J55" s="7">
        <v>2406</v>
      </c>
      <c r="K55" s="8">
        <v>545</v>
      </c>
      <c r="L55" s="8">
        <v>0</v>
      </c>
      <c r="M55" s="7">
        <v>21589</v>
      </c>
      <c r="N55" s="8">
        <v>782</v>
      </c>
      <c r="O55" s="7">
        <v>24949</v>
      </c>
      <c r="P55" s="44" t="str">
        <f>D55</f>
        <v>소사본동</v>
      </c>
      <c r="Q55" s="53"/>
      <c r="R55" s="53"/>
      <c r="S55" s="54"/>
      <c r="T55" s="30" t="s">
        <v>138</v>
      </c>
      <c r="U55" s="49" t="s">
        <v>136</v>
      </c>
      <c r="V55" s="51"/>
      <c r="W55" s="51"/>
      <c r="X55" s="51"/>
      <c r="Y55" s="50"/>
    </row>
    <row r="56" spans="1:30" ht="17.25" thickBot="1">
      <c r="A56" s="2" t="s">
        <v>0</v>
      </c>
      <c r="B56" s="2" t="s">
        <v>1</v>
      </c>
      <c r="C56" s="2" t="s">
        <v>54</v>
      </c>
      <c r="D56" s="2" t="s">
        <v>18</v>
      </c>
      <c r="E56" s="2" t="s">
        <v>11</v>
      </c>
      <c r="F56" s="7">
        <v>7201</v>
      </c>
      <c r="G56" s="7">
        <v>7180</v>
      </c>
      <c r="H56" s="7">
        <v>3605</v>
      </c>
      <c r="I56" s="7">
        <v>2451</v>
      </c>
      <c r="J56" s="8">
        <v>827</v>
      </c>
      <c r="K56" s="8">
        <v>179</v>
      </c>
      <c r="L56" s="8">
        <v>0</v>
      </c>
      <c r="M56" s="7">
        <v>7062</v>
      </c>
      <c r="N56" s="8">
        <v>118</v>
      </c>
      <c r="O56" s="8">
        <v>21</v>
      </c>
      <c r="P56" s="40" t="str">
        <f>"투표수: "&amp;TEXT((SUM(H55:L55)+N55), "#,##0")</f>
        <v>투표수: 22,371</v>
      </c>
      <c r="Q56" s="42"/>
      <c r="R56" s="18" t="str">
        <f>"유효투표수: "&amp;TEXT(SUM(H55:L55),"#,##0")</f>
        <v>유효투표수: 21,589</v>
      </c>
      <c r="S56" s="16" t="str">
        <f>"무효투표수: "&amp;TEXT(N55, "#,##0")</f>
        <v>무효투표수: 782</v>
      </c>
      <c r="T56" s="47" t="s">
        <v>140</v>
      </c>
      <c r="U56" s="77" t="str">
        <f>H51</f>
        <v>더불어민주당
김주삼</v>
      </c>
      <c r="V56" s="77" t="str">
        <f>I51</f>
        <v>국민의힘
최옥순</v>
      </c>
      <c r="W56" s="77" t="str">
        <f>J51</f>
        <v>무소속
김환석</v>
      </c>
      <c r="X56" s="77" t="str">
        <f>K51</f>
        <v>무소속
정준용</v>
      </c>
      <c r="Y56" s="77" t="str">
        <f>L51</f>
        <v xml:space="preserve">
</v>
      </c>
    </row>
    <row r="57" spans="1:30" ht="17.25" thickBot="1">
      <c r="A57" s="2" t="s">
        <v>0</v>
      </c>
      <c r="B57" s="2" t="s">
        <v>1</v>
      </c>
      <c r="C57" s="2" t="s">
        <v>54</v>
      </c>
      <c r="D57" s="2" t="s">
        <v>18</v>
      </c>
      <c r="E57" s="2" t="s">
        <v>12</v>
      </c>
      <c r="F57" s="7">
        <v>40119</v>
      </c>
      <c r="G57" s="7">
        <v>15191</v>
      </c>
      <c r="H57" s="7">
        <v>7347</v>
      </c>
      <c r="I57" s="7">
        <v>5235</v>
      </c>
      <c r="J57" s="7">
        <v>1579</v>
      </c>
      <c r="K57" s="8">
        <v>366</v>
      </c>
      <c r="L57" s="8">
        <v>0</v>
      </c>
      <c r="M57" s="7">
        <v>14527</v>
      </c>
      <c r="N57" s="8">
        <v>664</v>
      </c>
      <c r="O57" s="7">
        <v>24928</v>
      </c>
      <c r="P57" s="17" t="str">
        <f>"투표율: "&amp;TEXT(((G55/F55)*100), "0.00")&amp;"%"</f>
        <v>투표율: 47.28%</v>
      </c>
      <c r="Q57" s="12" t="str">
        <f>"기권율: "&amp;TEXT(((O55/F55)*100), "0.00")&amp;"%"</f>
        <v>기권율: 52.72%</v>
      </c>
      <c r="R57" s="17" t="str">
        <f>"유효투표율: "&amp;TEXT(((M55/G55)*100), "0.00")&amp;"%"</f>
        <v>유효투표율: 96.50%</v>
      </c>
      <c r="S57" s="12" t="str">
        <f>"무효투표율: "&amp;TEXT(((N55/G55)*100), "0.00")&amp;"%"</f>
        <v>무효투표율: 3.50%</v>
      </c>
      <c r="T57" s="48"/>
      <c r="U57" s="25" t="str">
        <f>TEXT(H55,"#,##0")&amp;CHAR(10)&amp;"("&amp;TEXT((ROUND((H55/(SUM($H55:$L55))*100),2)),"0.00")&amp;"%)"</f>
        <v>10,952
(50.73%)</v>
      </c>
      <c r="V57" s="25" t="str">
        <f>TEXT(I55,"#,##0")&amp;CHAR(10)&amp;"("&amp;TEXT((ROUND((I55/(SUM($H55:$L55))*100),2)),"0.00")&amp;"%)"</f>
        <v>7,686
(35.60%)</v>
      </c>
      <c r="W57" s="25" t="str">
        <f>TEXT(J55,"#,##0")&amp;CHAR(10)&amp;"("&amp;TEXT((ROUND((J55/(SUM($H55:$L55))*100),2)),"0.00")&amp;"%)"</f>
        <v>2,406
(11.14%)</v>
      </c>
      <c r="X57" s="25" t="str">
        <f>TEXT(K55,"#,##0")&amp;CHAR(10)&amp;"("&amp;TEXT((ROUND((K55/(SUM($H55:$L55))*100),2)),"0.00")&amp;"%)"</f>
        <v>545
(2.52%)</v>
      </c>
      <c r="Y57" s="25" t="str">
        <f>TEXT(L55,"#,##0")&amp;CHAR(10)&amp;"("&amp;TEXT((ROUND((L55/(SUM($H55:$L55))*100),2)),"0.00")&amp;"%)"</f>
        <v>0
(0.00%)</v>
      </c>
      <c r="Z57">
        <f>SUBSTITUTE(SUBSTITUTE(LEFT(U57,FIND("(",U57)-1),",",""),CHAR(10),"")+0</f>
        <v>10952</v>
      </c>
      <c r="AA57">
        <f>SUBSTITUTE(SUBSTITUTE(LEFT(V57,FIND("(",V57)-1),",",""),CHAR(10),"")+0</f>
        <v>7686</v>
      </c>
      <c r="AB57">
        <f>SUBSTITUTE(SUBSTITUTE(LEFT(W57,FIND("(",W57)-1),",",""),CHAR(10),"")+0</f>
        <v>2406</v>
      </c>
      <c r="AC57">
        <f>SUBSTITUTE(SUBSTITUTE(LEFT(X57,FIND("(",X57)-1),",",""),CHAR(10),"")+0</f>
        <v>545</v>
      </c>
      <c r="AD57">
        <f>SUBSTITUTE(SUBSTITUTE(LEFT(Y57,FIND("(",Y57)-1),",",""),CHAR(10),"")+0</f>
        <v>0</v>
      </c>
    </row>
    <row r="58" spans="1:30">
      <c r="A58" s="2" t="s">
        <v>0</v>
      </c>
      <c r="B58" s="2" t="s">
        <v>1</v>
      </c>
      <c r="C58" s="2" t="s">
        <v>54</v>
      </c>
      <c r="D58" s="2" t="s">
        <v>22</v>
      </c>
      <c r="E58" s="2" t="s">
        <v>2</v>
      </c>
      <c r="F58" s="8">
        <v>0</v>
      </c>
      <c r="G58" s="8">
        <v>83</v>
      </c>
      <c r="H58" s="8">
        <v>29</v>
      </c>
      <c r="I58" s="8">
        <v>22</v>
      </c>
      <c r="J58" s="8">
        <v>10</v>
      </c>
      <c r="K58" s="8">
        <v>5</v>
      </c>
      <c r="L58" s="8">
        <v>0</v>
      </c>
      <c r="M58" s="8">
        <v>66</v>
      </c>
      <c r="N58" s="8">
        <v>17</v>
      </c>
      <c r="O58" s="8">
        <v>-83</v>
      </c>
    </row>
    <row r="59" spans="1:30" ht="40.5">
      <c r="A59" s="2" t="s">
        <v>0</v>
      </c>
      <c r="B59" s="2" t="s">
        <v>1</v>
      </c>
      <c r="C59" s="2" t="s">
        <v>59</v>
      </c>
      <c r="D59" s="2" t="s">
        <v>2</v>
      </c>
      <c r="E59" s="2" t="s">
        <v>2</v>
      </c>
      <c r="F59" s="2" t="s">
        <v>2</v>
      </c>
      <c r="G59" s="2" t="s">
        <v>2</v>
      </c>
      <c r="H59" s="3" t="s">
        <v>60</v>
      </c>
      <c r="I59" s="3" t="s">
        <v>61</v>
      </c>
      <c r="J59" s="3" t="s">
        <v>62</v>
      </c>
      <c r="K59" s="3" t="s">
        <v>63</v>
      </c>
      <c r="L59" s="3" t="s">
        <v>5</v>
      </c>
      <c r="M59" s="2" t="s">
        <v>2</v>
      </c>
      <c r="N59" s="2" t="s">
        <v>2</v>
      </c>
      <c r="O59" s="2" t="s">
        <v>2</v>
      </c>
    </row>
    <row r="60" spans="1:30">
      <c r="A60" s="2" t="s">
        <v>0</v>
      </c>
      <c r="B60" s="2" t="s">
        <v>1</v>
      </c>
      <c r="C60" s="2" t="s">
        <v>59</v>
      </c>
      <c r="D60" s="2" t="s">
        <v>6</v>
      </c>
      <c r="E60" s="2" t="s">
        <v>2</v>
      </c>
      <c r="F60" s="7">
        <v>78062</v>
      </c>
      <c r="G60" s="7">
        <v>41783</v>
      </c>
      <c r="H60" s="7">
        <v>16200</v>
      </c>
      <c r="I60" s="7">
        <v>5641</v>
      </c>
      <c r="J60" s="7">
        <v>10597</v>
      </c>
      <c r="K60" s="7">
        <v>5008</v>
      </c>
      <c r="L60" s="8">
        <v>0</v>
      </c>
      <c r="M60" s="7">
        <v>37446</v>
      </c>
      <c r="N60" s="7">
        <v>4337</v>
      </c>
      <c r="O60" s="7">
        <v>36279</v>
      </c>
    </row>
    <row r="61" spans="1:30">
      <c r="A61" s="2" t="s">
        <v>0</v>
      </c>
      <c r="B61" s="2" t="s">
        <v>1</v>
      </c>
      <c r="C61" s="2" t="s">
        <v>59</v>
      </c>
      <c r="D61" s="2" t="s">
        <v>7</v>
      </c>
      <c r="E61" s="2" t="s">
        <v>2</v>
      </c>
      <c r="F61" s="8">
        <v>106</v>
      </c>
      <c r="G61" s="8">
        <v>100</v>
      </c>
      <c r="H61" s="8">
        <v>26</v>
      </c>
      <c r="I61" s="8">
        <v>19</v>
      </c>
      <c r="J61" s="8">
        <v>32</v>
      </c>
      <c r="K61" s="8">
        <v>11</v>
      </c>
      <c r="L61" s="8">
        <v>0</v>
      </c>
      <c r="M61" s="8">
        <v>88</v>
      </c>
      <c r="N61" s="8">
        <v>12</v>
      </c>
      <c r="O61" s="8">
        <v>6</v>
      </c>
    </row>
    <row r="62" spans="1:30" ht="17.25" thickBot="1">
      <c r="A62" s="2" t="s">
        <v>0</v>
      </c>
      <c r="B62" s="2" t="s">
        <v>1</v>
      </c>
      <c r="C62" s="2" t="s">
        <v>59</v>
      </c>
      <c r="D62" s="2" t="s">
        <v>8</v>
      </c>
      <c r="E62" s="2" t="s">
        <v>2</v>
      </c>
      <c r="F62" s="7">
        <v>4258</v>
      </c>
      <c r="G62" s="7">
        <v>4249</v>
      </c>
      <c r="H62" s="7">
        <v>1792</v>
      </c>
      <c r="I62" s="8">
        <v>625</v>
      </c>
      <c r="J62" s="7">
        <v>1043</v>
      </c>
      <c r="K62" s="8">
        <v>401</v>
      </c>
      <c r="L62" s="8">
        <v>0</v>
      </c>
      <c r="M62" s="7">
        <v>3861</v>
      </c>
      <c r="N62" s="8">
        <v>388</v>
      </c>
      <c r="O62" s="8">
        <v>9</v>
      </c>
    </row>
    <row r="63" spans="1:30" ht="17.25" thickBot="1">
      <c r="A63" s="2" t="s">
        <v>0</v>
      </c>
      <c r="B63" s="2" t="s">
        <v>1</v>
      </c>
      <c r="C63" s="2" t="s">
        <v>59</v>
      </c>
      <c r="D63" s="2" t="s">
        <v>19</v>
      </c>
      <c r="E63" s="2" t="s">
        <v>10</v>
      </c>
      <c r="F63" s="7">
        <v>73698</v>
      </c>
      <c r="G63" s="7">
        <v>37366</v>
      </c>
      <c r="H63" s="7">
        <v>14353</v>
      </c>
      <c r="I63" s="7">
        <v>4993</v>
      </c>
      <c r="J63" s="7">
        <v>9506</v>
      </c>
      <c r="K63" s="7">
        <v>4590</v>
      </c>
      <c r="L63" s="8">
        <v>0</v>
      </c>
      <c r="M63" s="7">
        <v>33442</v>
      </c>
      <c r="N63" s="7">
        <v>3924</v>
      </c>
      <c r="O63" s="7">
        <v>36332</v>
      </c>
      <c r="P63" s="44" t="str">
        <f>D63</f>
        <v>범안동</v>
      </c>
      <c r="Q63" s="53"/>
      <c r="R63" s="53"/>
      <c r="S63" s="54"/>
      <c r="T63" s="30" t="s">
        <v>138</v>
      </c>
      <c r="U63" s="49" t="s">
        <v>136</v>
      </c>
      <c r="V63" s="51"/>
      <c r="W63" s="51"/>
      <c r="X63" s="51"/>
      <c r="Y63" s="50"/>
    </row>
    <row r="64" spans="1:30" ht="17.25" thickBot="1">
      <c r="A64" s="2" t="s">
        <v>0</v>
      </c>
      <c r="B64" s="2" t="s">
        <v>1</v>
      </c>
      <c r="C64" s="2" t="s">
        <v>59</v>
      </c>
      <c r="D64" s="2" t="s">
        <v>19</v>
      </c>
      <c r="E64" s="2" t="s">
        <v>11</v>
      </c>
      <c r="F64" s="7">
        <v>10306</v>
      </c>
      <c r="G64" s="7">
        <v>10286</v>
      </c>
      <c r="H64" s="7">
        <v>4083</v>
      </c>
      <c r="I64" s="7">
        <v>1374</v>
      </c>
      <c r="J64" s="7">
        <v>2599</v>
      </c>
      <c r="K64" s="7">
        <v>1241</v>
      </c>
      <c r="L64" s="8">
        <v>0</v>
      </c>
      <c r="M64" s="7">
        <v>9297</v>
      </c>
      <c r="N64" s="8">
        <v>989</v>
      </c>
      <c r="O64" s="8">
        <v>20</v>
      </c>
      <c r="P64" s="40" t="str">
        <f>"투표수: "&amp;TEXT((SUM(H63:L63)+N63), "#,##0")</f>
        <v>투표수: 37,366</v>
      </c>
      <c r="Q64" s="42"/>
      <c r="R64" s="18" t="str">
        <f>"유효투표수: "&amp;TEXT(SUM(H63:L63),"#,##0")</f>
        <v>유효투표수: 33,442</v>
      </c>
      <c r="S64" s="16" t="str">
        <f>"무효투표수: "&amp;TEXT(N63, "#,##0")</f>
        <v>무효투표수: 3,924</v>
      </c>
      <c r="T64" s="47" t="s">
        <v>140</v>
      </c>
      <c r="U64" s="77" t="str">
        <f>H59</f>
        <v>더불어민주당
송혜숙</v>
      </c>
      <c r="V64" s="77" t="str">
        <f>I59</f>
        <v>더불어민주당
최의열</v>
      </c>
      <c r="W64" s="77" t="str">
        <f>J59</f>
        <v>국민의힘
윤병권</v>
      </c>
      <c r="X64" s="77" t="str">
        <f>K59</f>
        <v>국민의힘
이준영</v>
      </c>
      <c r="Y64" s="77" t="str">
        <f>L59</f>
        <v xml:space="preserve">
</v>
      </c>
    </row>
    <row r="65" spans="1:30" ht="17.25" thickBot="1">
      <c r="A65" s="2" t="s">
        <v>0</v>
      </c>
      <c r="B65" s="2" t="s">
        <v>1</v>
      </c>
      <c r="C65" s="2" t="s">
        <v>59</v>
      </c>
      <c r="D65" s="2" t="s">
        <v>19</v>
      </c>
      <c r="E65" s="2" t="s">
        <v>12</v>
      </c>
      <c r="F65" s="7">
        <v>63392</v>
      </c>
      <c r="G65" s="7">
        <v>27080</v>
      </c>
      <c r="H65" s="7">
        <v>10270</v>
      </c>
      <c r="I65" s="7">
        <v>3619</v>
      </c>
      <c r="J65" s="7">
        <v>6907</v>
      </c>
      <c r="K65" s="7">
        <v>3349</v>
      </c>
      <c r="L65" s="8">
        <v>0</v>
      </c>
      <c r="M65" s="7">
        <v>24145</v>
      </c>
      <c r="N65" s="7">
        <v>2935</v>
      </c>
      <c r="O65" s="7">
        <v>36312</v>
      </c>
      <c r="P65" s="17" t="str">
        <f>"투표율: "&amp;TEXT(((G63/F63)*100), "0.00")&amp;"%"</f>
        <v>투표율: 50.70%</v>
      </c>
      <c r="Q65" s="12" t="str">
        <f>"기권율: "&amp;TEXT(((O63/F63)*100), "0.00")&amp;"%"</f>
        <v>기권율: 49.30%</v>
      </c>
      <c r="R65" s="17" t="str">
        <f>"유효투표율: "&amp;TEXT(((M63/G63)*100), "0.00")&amp;"%"</f>
        <v>유효투표율: 89.50%</v>
      </c>
      <c r="S65" s="12" t="str">
        <f>"무효투표율: "&amp;TEXT(((N63/G63)*100), "0.00")&amp;"%"</f>
        <v>무효투표율: 10.50%</v>
      </c>
      <c r="T65" s="48"/>
      <c r="U65" s="25" t="str">
        <f>TEXT(H63,"#,##0")&amp;CHAR(10)&amp;"("&amp;TEXT((ROUND((H63/(SUM($H63:$L63))*100),2)),"0.00")&amp;"%)"</f>
        <v>14,353
(42.92%)</v>
      </c>
      <c r="V65" s="25" t="str">
        <f>TEXT(I63,"#,##0")&amp;CHAR(10)&amp;"("&amp;TEXT((ROUND((I63/(SUM($H63:$L63))*100),2)),"0.00")&amp;"%)"</f>
        <v>4,993
(14.93%)</v>
      </c>
      <c r="W65" s="25" t="str">
        <f>TEXT(J63,"#,##0")&amp;CHAR(10)&amp;"("&amp;TEXT((ROUND((J63/(SUM($H63:$L63))*100),2)),"0.00")&amp;"%)"</f>
        <v>9,506
(28.43%)</v>
      </c>
      <c r="X65" s="25" t="str">
        <f>TEXT(K63,"#,##0")&amp;CHAR(10)&amp;"("&amp;TEXT((ROUND((K63/(SUM($H63:$L63))*100),2)),"0.00")&amp;"%)"</f>
        <v>4,590
(13.73%)</v>
      </c>
      <c r="Y65" s="25" t="str">
        <f>TEXT(L63,"#,##0")&amp;CHAR(10)&amp;"("&amp;TEXT((ROUND((L63/(SUM($H63:$L63))*100),2)),"0.00")&amp;"%)"</f>
        <v>0
(0.00%)</v>
      </c>
      <c r="Z65">
        <f>SUBSTITUTE(SUBSTITUTE(LEFT(U65,FIND("(",U65)-1),",",""),CHAR(10),"")+0</f>
        <v>14353</v>
      </c>
      <c r="AA65">
        <f>SUBSTITUTE(SUBSTITUTE(LEFT(V65,FIND("(",V65)-1),",",""),CHAR(10),"")+0</f>
        <v>4993</v>
      </c>
      <c r="AB65">
        <f>SUBSTITUTE(SUBSTITUTE(LEFT(W65,FIND("(",W65)-1),",",""),CHAR(10),"")+0</f>
        <v>9506</v>
      </c>
      <c r="AC65">
        <f>SUBSTITUTE(SUBSTITUTE(LEFT(X65,FIND("(",X65)-1),",",""),CHAR(10),"")+0</f>
        <v>4590</v>
      </c>
      <c r="AD65">
        <f>SUBSTITUTE(SUBSTITUTE(LEFT(Y65,FIND("(",Y65)-1),",",""),CHAR(10),"")+0</f>
        <v>0</v>
      </c>
    </row>
    <row r="66" spans="1:30">
      <c r="A66" s="2" t="s">
        <v>0</v>
      </c>
      <c r="B66" s="2" t="s">
        <v>1</v>
      </c>
      <c r="C66" s="2" t="s">
        <v>59</v>
      </c>
      <c r="D66" s="2" t="s">
        <v>22</v>
      </c>
      <c r="E66" s="2" t="s">
        <v>2</v>
      </c>
      <c r="F66" s="8">
        <v>0</v>
      </c>
      <c r="G66" s="8">
        <v>68</v>
      </c>
      <c r="H66" s="8">
        <v>29</v>
      </c>
      <c r="I66" s="8">
        <v>4</v>
      </c>
      <c r="J66" s="8">
        <v>16</v>
      </c>
      <c r="K66" s="8">
        <v>6</v>
      </c>
      <c r="L66" s="8">
        <v>0</v>
      </c>
      <c r="M66" s="8">
        <v>55</v>
      </c>
      <c r="N66" s="8">
        <v>13</v>
      </c>
      <c r="O66" s="8">
        <v>-68</v>
      </c>
    </row>
    <row r="67" spans="1:30" ht="40.5">
      <c r="A67" s="2" t="s">
        <v>0</v>
      </c>
      <c r="B67" s="2" t="s">
        <v>1</v>
      </c>
      <c r="C67" s="2" t="s">
        <v>64</v>
      </c>
      <c r="D67" s="2" t="s">
        <v>2</v>
      </c>
      <c r="E67" s="2" t="s">
        <v>2</v>
      </c>
      <c r="F67" s="2" t="s">
        <v>2</v>
      </c>
      <c r="G67" s="2" t="s">
        <v>2</v>
      </c>
      <c r="H67" s="3" t="s">
        <v>65</v>
      </c>
      <c r="I67" s="3" t="s">
        <v>66</v>
      </c>
      <c r="J67" s="3" t="s">
        <v>67</v>
      </c>
      <c r="K67" s="3" t="s">
        <v>68</v>
      </c>
      <c r="L67" s="3" t="s">
        <v>69</v>
      </c>
      <c r="M67" s="2" t="s">
        <v>2</v>
      </c>
      <c r="N67" s="2" t="s">
        <v>2</v>
      </c>
      <c r="O67" s="2" t="s">
        <v>2</v>
      </c>
    </row>
    <row r="68" spans="1:30">
      <c r="A68" s="2" t="s">
        <v>0</v>
      </c>
      <c r="B68" s="2" t="s">
        <v>1</v>
      </c>
      <c r="C68" s="2" t="s">
        <v>64</v>
      </c>
      <c r="D68" s="2" t="s">
        <v>6</v>
      </c>
      <c r="E68" s="2" t="s">
        <v>2</v>
      </c>
      <c r="F68" s="7">
        <v>73228</v>
      </c>
      <c r="G68" s="7">
        <v>33323</v>
      </c>
      <c r="H68" s="7">
        <v>11898</v>
      </c>
      <c r="I68" s="7">
        <v>4799</v>
      </c>
      <c r="J68" s="7">
        <v>8380</v>
      </c>
      <c r="K68" s="7">
        <v>4465</v>
      </c>
      <c r="L68" s="7">
        <v>1477</v>
      </c>
      <c r="M68" s="7">
        <v>31019</v>
      </c>
      <c r="N68" s="7">
        <v>2304</v>
      </c>
      <c r="O68" s="7">
        <v>39905</v>
      </c>
    </row>
    <row r="69" spans="1:30">
      <c r="A69" s="2" t="s">
        <v>0</v>
      </c>
      <c r="B69" s="2" t="s">
        <v>1</v>
      </c>
      <c r="C69" s="2" t="s">
        <v>64</v>
      </c>
      <c r="D69" s="2" t="s">
        <v>7</v>
      </c>
      <c r="E69" s="2" t="s">
        <v>2</v>
      </c>
      <c r="F69" s="8">
        <v>78</v>
      </c>
      <c r="G69" s="8">
        <v>74</v>
      </c>
      <c r="H69" s="8">
        <v>27</v>
      </c>
      <c r="I69" s="8">
        <v>8</v>
      </c>
      <c r="J69" s="8">
        <v>25</v>
      </c>
      <c r="K69" s="8">
        <v>4</v>
      </c>
      <c r="L69" s="8">
        <v>2</v>
      </c>
      <c r="M69" s="8">
        <v>66</v>
      </c>
      <c r="N69" s="8">
        <v>8</v>
      </c>
      <c r="O69" s="8">
        <v>4</v>
      </c>
    </row>
    <row r="70" spans="1:30" ht="17.25" thickBot="1">
      <c r="A70" s="2" t="s">
        <v>0</v>
      </c>
      <c r="B70" s="2" t="s">
        <v>1</v>
      </c>
      <c r="C70" s="2" t="s">
        <v>64</v>
      </c>
      <c r="D70" s="2" t="s">
        <v>8</v>
      </c>
      <c r="E70" s="2" t="s">
        <v>2</v>
      </c>
      <c r="F70" s="7">
        <v>3425</v>
      </c>
      <c r="G70" s="7">
        <v>3421</v>
      </c>
      <c r="H70" s="7">
        <v>1304</v>
      </c>
      <c r="I70" s="8">
        <v>520</v>
      </c>
      <c r="J70" s="8">
        <v>877</v>
      </c>
      <c r="K70" s="8">
        <v>371</v>
      </c>
      <c r="L70" s="8">
        <v>145</v>
      </c>
      <c r="M70" s="7">
        <v>3217</v>
      </c>
      <c r="N70" s="8">
        <v>204</v>
      </c>
      <c r="O70" s="8">
        <v>4</v>
      </c>
    </row>
    <row r="71" spans="1:30" ht="17.25" thickBot="1">
      <c r="A71" s="2" t="s">
        <v>0</v>
      </c>
      <c r="B71" s="2" t="s">
        <v>1</v>
      </c>
      <c r="C71" s="2" t="s">
        <v>64</v>
      </c>
      <c r="D71" s="2" t="s">
        <v>20</v>
      </c>
      <c r="E71" s="2" t="s">
        <v>10</v>
      </c>
      <c r="F71" s="7">
        <v>69725</v>
      </c>
      <c r="G71" s="7">
        <v>29797</v>
      </c>
      <c r="H71" s="7">
        <v>10559</v>
      </c>
      <c r="I71" s="7">
        <v>4268</v>
      </c>
      <c r="J71" s="7">
        <v>7473</v>
      </c>
      <c r="K71" s="7">
        <v>4085</v>
      </c>
      <c r="L71" s="7">
        <v>1326</v>
      </c>
      <c r="M71" s="7">
        <v>27711</v>
      </c>
      <c r="N71" s="7">
        <v>2086</v>
      </c>
      <c r="O71" s="7">
        <v>39928</v>
      </c>
      <c r="P71" s="44" t="str">
        <f>D71</f>
        <v>성곡동</v>
      </c>
      <c r="Q71" s="53"/>
      <c r="R71" s="53"/>
      <c r="S71" s="54"/>
      <c r="T71" s="30" t="s">
        <v>138</v>
      </c>
      <c r="U71" s="49" t="s">
        <v>136</v>
      </c>
      <c r="V71" s="51"/>
      <c r="W71" s="51"/>
      <c r="X71" s="51"/>
      <c r="Y71" s="50"/>
    </row>
    <row r="72" spans="1:30" ht="17.25" thickBot="1">
      <c r="A72" s="2" t="s">
        <v>0</v>
      </c>
      <c r="B72" s="2" t="s">
        <v>1</v>
      </c>
      <c r="C72" s="2" t="s">
        <v>64</v>
      </c>
      <c r="D72" s="2" t="s">
        <v>20</v>
      </c>
      <c r="E72" s="2" t="s">
        <v>11</v>
      </c>
      <c r="F72" s="7">
        <v>9420</v>
      </c>
      <c r="G72" s="7">
        <v>9405</v>
      </c>
      <c r="H72" s="7">
        <v>3443</v>
      </c>
      <c r="I72" s="7">
        <v>1410</v>
      </c>
      <c r="J72" s="7">
        <v>2193</v>
      </c>
      <c r="K72" s="7">
        <v>1269</v>
      </c>
      <c r="L72" s="8">
        <v>408</v>
      </c>
      <c r="M72" s="7">
        <v>8723</v>
      </c>
      <c r="N72" s="8">
        <v>682</v>
      </c>
      <c r="O72" s="8">
        <v>15</v>
      </c>
      <c r="P72" s="40" t="str">
        <f>"투표수: "&amp;TEXT((SUM(H71:L71)+N71), "#,##0")</f>
        <v>투표수: 29,797</v>
      </c>
      <c r="Q72" s="42"/>
      <c r="R72" s="18" t="str">
        <f>"유효투표수: "&amp;TEXT(SUM(H71:L71),"#,##0")</f>
        <v>유효투표수: 27,711</v>
      </c>
      <c r="S72" s="16" t="str">
        <f>"무효투표수: "&amp;TEXT(N71, "#,##0")</f>
        <v>무효투표수: 2,086</v>
      </c>
      <c r="T72" s="47" t="s">
        <v>141</v>
      </c>
      <c r="U72" s="77" t="str">
        <f>H67</f>
        <v>더불어민주당
윤단비</v>
      </c>
      <c r="V72" s="77" t="str">
        <f>I67</f>
        <v>더불어민주당
최은경</v>
      </c>
      <c r="W72" s="77" t="str">
        <f>J67</f>
        <v>국민의힘
이학환</v>
      </c>
      <c r="X72" s="77" t="str">
        <f>K67</f>
        <v>국민의힘
노근호</v>
      </c>
      <c r="Y72" s="77" t="str">
        <f>L67</f>
        <v>정의당
김민정</v>
      </c>
    </row>
    <row r="73" spans="1:30" ht="17.25" thickBot="1">
      <c r="A73" s="2" t="s">
        <v>0</v>
      </c>
      <c r="B73" s="2" t="s">
        <v>1</v>
      </c>
      <c r="C73" s="2" t="s">
        <v>64</v>
      </c>
      <c r="D73" s="2" t="s">
        <v>20</v>
      </c>
      <c r="E73" s="2" t="s">
        <v>12</v>
      </c>
      <c r="F73" s="7">
        <v>60305</v>
      </c>
      <c r="G73" s="7">
        <v>20392</v>
      </c>
      <c r="H73" s="7">
        <v>7116</v>
      </c>
      <c r="I73" s="7">
        <v>2858</v>
      </c>
      <c r="J73" s="7">
        <v>5280</v>
      </c>
      <c r="K73" s="7">
        <v>2816</v>
      </c>
      <c r="L73" s="8">
        <v>918</v>
      </c>
      <c r="M73" s="7">
        <v>18988</v>
      </c>
      <c r="N73" s="7">
        <v>1404</v>
      </c>
      <c r="O73" s="7">
        <v>39913</v>
      </c>
      <c r="P73" s="17" t="str">
        <f>"투표율: "&amp;TEXT(((G71/F71)*100), "0.00")&amp;"%"</f>
        <v>투표율: 42.74%</v>
      </c>
      <c r="Q73" s="12" t="str">
        <f>"기권율: "&amp;TEXT(((O71/F71)*100), "0.00")&amp;"%"</f>
        <v>기권율: 57.26%</v>
      </c>
      <c r="R73" s="17" t="str">
        <f>"유효투표율: "&amp;TEXT(((M71/G71)*100), "0.00")&amp;"%"</f>
        <v>유효투표율: 93.00%</v>
      </c>
      <c r="S73" s="12" t="str">
        <f>"무효투표율: "&amp;TEXT(((N71/G71)*100), "0.00")&amp;"%"</f>
        <v>무효투표율: 7.00%</v>
      </c>
      <c r="T73" s="48"/>
      <c r="U73" s="25" t="str">
        <f>TEXT(H71,"#,##0")&amp;CHAR(10)&amp;"("&amp;TEXT((ROUND((H71/(SUM($H71:$L71))*100),2)),"0.00")&amp;"%)"</f>
        <v>10,559
(38.10%)</v>
      </c>
      <c r="V73" s="25" t="str">
        <f>TEXT(I71,"#,##0")&amp;CHAR(10)&amp;"("&amp;TEXT((ROUND((I71/(SUM($H71:$L71))*100),2)),"0.00")&amp;"%)"</f>
        <v>4,268
(15.40%)</v>
      </c>
      <c r="W73" s="25" t="str">
        <f>TEXT(J71,"#,##0")&amp;CHAR(10)&amp;"("&amp;TEXT((ROUND((J71/(SUM($H71:$L71))*100),2)),"0.00")&amp;"%)"</f>
        <v>7,473
(26.97%)</v>
      </c>
      <c r="X73" s="25" t="str">
        <f>TEXT(K71,"#,##0")&amp;CHAR(10)&amp;"("&amp;TEXT((ROUND((K71/(SUM($H71:$L71))*100),2)),"0.00")&amp;"%)"</f>
        <v>4,085
(14.74%)</v>
      </c>
      <c r="Y73" s="25" t="str">
        <f>TEXT(L71,"#,##0")&amp;CHAR(10)&amp;"("&amp;TEXT((ROUND((L71/(SUM($H71:$L71))*100),2)),"0.00")&amp;"%)"</f>
        <v>1,326
(4.79%)</v>
      </c>
      <c r="Z73">
        <f>SUBSTITUTE(SUBSTITUTE(LEFT(U73,FIND("(",U73)-1),",",""),CHAR(10),"")+0</f>
        <v>10559</v>
      </c>
      <c r="AA73">
        <f>SUBSTITUTE(SUBSTITUTE(LEFT(V73,FIND("(",V73)-1),",",""),CHAR(10),"")+0</f>
        <v>4268</v>
      </c>
      <c r="AB73">
        <f>SUBSTITUTE(SUBSTITUTE(LEFT(W73,FIND("(",W73)-1),",",""),CHAR(10),"")+0</f>
        <v>7473</v>
      </c>
      <c r="AC73">
        <f>SUBSTITUTE(SUBSTITUTE(LEFT(X73,FIND("(",X73)-1),",",""),CHAR(10),"")+0</f>
        <v>4085</v>
      </c>
      <c r="AD73">
        <f>SUBSTITUTE(SUBSTITUTE(LEFT(Y73,FIND("(",Y73)-1),",",""),CHAR(10),"")+0</f>
        <v>1326</v>
      </c>
    </row>
    <row r="74" spans="1:30">
      <c r="A74" s="2" t="s">
        <v>0</v>
      </c>
      <c r="B74" s="2" t="s">
        <v>1</v>
      </c>
      <c r="C74" s="2" t="s">
        <v>64</v>
      </c>
      <c r="D74" s="2" t="s">
        <v>22</v>
      </c>
      <c r="E74" s="2" t="s">
        <v>2</v>
      </c>
      <c r="F74" s="8">
        <v>0</v>
      </c>
      <c r="G74" s="8">
        <v>31</v>
      </c>
      <c r="H74" s="8">
        <v>8</v>
      </c>
      <c r="I74" s="8">
        <v>3</v>
      </c>
      <c r="J74" s="8">
        <v>5</v>
      </c>
      <c r="K74" s="8">
        <v>5</v>
      </c>
      <c r="L74" s="8">
        <v>4</v>
      </c>
      <c r="M74" s="8">
        <v>25</v>
      </c>
      <c r="N74" s="8">
        <v>6</v>
      </c>
      <c r="O74" s="8">
        <v>-31</v>
      </c>
    </row>
    <row r="75" spans="1:30" ht="40.5">
      <c r="A75" s="2" t="s">
        <v>0</v>
      </c>
      <c r="B75" s="2" t="s">
        <v>1</v>
      </c>
      <c r="C75" s="2" t="s">
        <v>70</v>
      </c>
      <c r="D75" s="2" t="s">
        <v>2</v>
      </c>
      <c r="E75" s="2" t="s">
        <v>2</v>
      </c>
      <c r="F75" s="2" t="s">
        <v>2</v>
      </c>
      <c r="G75" s="2" t="s">
        <v>2</v>
      </c>
      <c r="H75" s="3" t="s">
        <v>71</v>
      </c>
      <c r="I75" s="3" t="s">
        <v>72</v>
      </c>
      <c r="J75" s="3" t="s">
        <v>73</v>
      </c>
      <c r="K75" s="3" t="s">
        <v>5</v>
      </c>
      <c r="L75" s="3" t="s">
        <v>5</v>
      </c>
      <c r="M75" s="2" t="s">
        <v>2</v>
      </c>
      <c r="N75" s="2" t="s">
        <v>2</v>
      </c>
      <c r="O75" s="2" t="s">
        <v>2</v>
      </c>
    </row>
    <row r="76" spans="1:30">
      <c r="A76" s="2" t="s">
        <v>0</v>
      </c>
      <c r="B76" s="2" t="s">
        <v>1</v>
      </c>
      <c r="C76" s="2" t="s">
        <v>70</v>
      </c>
      <c r="D76" s="2" t="s">
        <v>6</v>
      </c>
      <c r="E76" s="2" t="s">
        <v>2</v>
      </c>
      <c r="F76" s="7">
        <v>73114</v>
      </c>
      <c r="G76" s="7">
        <v>32276</v>
      </c>
      <c r="H76" s="7">
        <v>15716</v>
      </c>
      <c r="I76" s="7">
        <v>10008</v>
      </c>
      <c r="J76" s="7">
        <v>4937</v>
      </c>
      <c r="K76" s="8">
        <v>0</v>
      </c>
      <c r="L76" s="8">
        <v>0</v>
      </c>
      <c r="M76" s="7">
        <v>30661</v>
      </c>
      <c r="N76" s="7">
        <v>1615</v>
      </c>
      <c r="O76" s="7">
        <v>40838</v>
      </c>
    </row>
    <row r="77" spans="1:30">
      <c r="A77" s="2" t="s">
        <v>0</v>
      </c>
      <c r="B77" s="2" t="s">
        <v>1</v>
      </c>
      <c r="C77" s="2" t="s">
        <v>70</v>
      </c>
      <c r="D77" s="2" t="s">
        <v>7</v>
      </c>
      <c r="E77" s="2" t="s">
        <v>2</v>
      </c>
      <c r="F77" s="8">
        <v>98</v>
      </c>
      <c r="G77" s="8">
        <v>91</v>
      </c>
      <c r="H77" s="8">
        <v>41</v>
      </c>
      <c r="I77" s="8">
        <v>23</v>
      </c>
      <c r="J77" s="8">
        <v>18</v>
      </c>
      <c r="K77" s="8">
        <v>0</v>
      </c>
      <c r="L77" s="8">
        <v>0</v>
      </c>
      <c r="M77" s="8">
        <v>82</v>
      </c>
      <c r="N77" s="8">
        <v>9</v>
      </c>
      <c r="O77" s="8">
        <v>7</v>
      </c>
    </row>
    <row r="78" spans="1:30" ht="17.25" thickBot="1">
      <c r="A78" s="2" t="s">
        <v>0</v>
      </c>
      <c r="B78" s="2" t="s">
        <v>1</v>
      </c>
      <c r="C78" s="2" t="s">
        <v>70</v>
      </c>
      <c r="D78" s="2" t="s">
        <v>8</v>
      </c>
      <c r="E78" s="2" t="s">
        <v>2</v>
      </c>
      <c r="F78" s="7">
        <v>3964</v>
      </c>
      <c r="G78" s="7">
        <v>3953</v>
      </c>
      <c r="H78" s="7">
        <v>2174</v>
      </c>
      <c r="I78" s="7">
        <v>1185</v>
      </c>
      <c r="J78" s="8">
        <v>479</v>
      </c>
      <c r="K78" s="8">
        <v>0</v>
      </c>
      <c r="L78" s="8">
        <v>0</v>
      </c>
      <c r="M78" s="7">
        <v>3838</v>
      </c>
      <c r="N78" s="8">
        <v>115</v>
      </c>
      <c r="O78" s="8">
        <v>11</v>
      </c>
    </row>
    <row r="79" spans="1:30" ht="17.25" thickBot="1">
      <c r="A79" s="2" t="s">
        <v>0</v>
      </c>
      <c r="B79" s="2" t="s">
        <v>1</v>
      </c>
      <c r="C79" s="2" t="s">
        <v>70</v>
      </c>
      <c r="D79" s="2" t="s">
        <v>21</v>
      </c>
      <c r="E79" s="2" t="s">
        <v>10</v>
      </c>
      <c r="F79" s="7">
        <v>69052</v>
      </c>
      <c r="G79" s="7">
        <v>28169</v>
      </c>
      <c r="H79" s="7">
        <v>13484</v>
      </c>
      <c r="I79" s="7">
        <v>8773</v>
      </c>
      <c r="J79" s="7">
        <v>4433</v>
      </c>
      <c r="K79" s="8">
        <v>0</v>
      </c>
      <c r="L79" s="8">
        <v>0</v>
      </c>
      <c r="M79" s="7">
        <v>26690</v>
      </c>
      <c r="N79" s="7">
        <v>1479</v>
      </c>
      <c r="O79" s="7">
        <v>40883</v>
      </c>
      <c r="P79" s="44" t="str">
        <f>D79</f>
        <v>오정동</v>
      </c>
      <c r="Q79" s="53"/>
      <c r="R79" s="53"/>
      <c r="S79" s="54"/>
      <c r="T79" s="30" t="s">
        <v>138</v>
      </c>
      <c r="U79" s="49" t="s">
        <v>136</v>
      </c>
      <c r="V79" s="51"/>
      <c r="W79" s="51"/>
      <c r="X79" s="51"/>
      <c r="Y79" s="50"/>
    </row>
    <row r="80" spans="1:30" ht="17.25" thickBot="1">
      <c r="A80" s="2" t="s">
        <v>0</v>
      </c>
      <c r="B80" s="2" t="s">
        <v>1</v>
      </c>
      <c r="C80" s="2" t="s">
        <v>70</v>
      </c>
      <c r="D80" s="2" t="s">
        <v>21</v>
      </c>
      <c r="E80" s="2" t="s">
        <v>11</v>
      </c>
      <c r="F80" s="7">
        <v>7478</v>
      </c>
      <c r="G80" s="7">
        <v>7464</v>
      </c>
      <c r="H80" s="7">
        <v>3761</v>
      </c>
      <c r="I80" s="7">
        <v>2192</v>
      </c>
      <c r="J80" s="7">
        <v>1252</v>
      </c>
      <c r="K80" s="8">
        <v>0</v>
      </c>
      <c r="L80" s="8">
        <v>0</v>
      </c>
      <c r="M80" s="7">
        <v>7205</v>
      </c>
      <c r="N80" s="8">
        <v>259</v>
      </c>
      <c r="O80" s="8">
        <v>14</v>
      </c>
      <c r="P80" s="40" t="str">
        <f>"투표수: "&amp;TEXT((SUM(H79:L79)+N79), "#,##0")</f>
        <v>투표수: 28,169</v>
      </c>
      <c r="Q80" s="42"/>
      <c r="R80" s="18" t="str">
        <f>"유효투표수: "&amp;TEXT(SUM(H79:L79),"#,##0")</f>
        <v>유효투표수: 26,690</v>
      </c>
      <c r="S80" s="16" t="str">
        <f>"무효투표수: "&amp;TEXT(N79, "#,##0")</f>
        <v>무효투표수: 1,479</v>
      </c>
      <c r="T80" s="47" t="s">
        <v>141</v>
      </c>
      <c r="U80" s="77" t="str">
        <f>H75</f>
        <v>더불어민주당
손준기</v>
      </c>
      <c r="V80" s="77" t="str">
        <f>I75</f>
        <v>국민의힘
구점자</v>
      </c>
      <c r="W80" s="77" t="str">
        <f>J75</f>
        <v>국민의힘
이필구</v>
      </c>
      <c r="X80" s="77" t="str">
        <f>K75</f>
        <v xml:space="preserve">
</v>
      </c>
      <c r="Y80" s="77" t="str">
        <f>L75</f>
        <v xml:space="preserve">
</v>
      </c>
    </row>
    <row r="81" spans="1:30" ht="17.25" thickBot="1">
      <c r="A81" s="2" t="s">
        <v>0</v>
      </c>
      <c r="B81" s="2" t="s">
        <v>1</v>
      </c>
      <c r="C81" s="2" t="s">
        <v>70</v>
      </c>
      <c r="D81" s="2" t="s">
        <v>21</v>
      </c>
      <c r="E81" s="2" t="s">
        <v>12</v>
      </c>
      <c r="F81" s="7">
        <v>61574</v>
      </c>
      <c r="G81" s="7">
        <v>20705</v>
      </c>
      <c r="H81" s="7">
        <v>9723</v>
      </c>
      <c r="I81" s="7">
        <v>6581</v>
      </c>
      <c r="J81" s="7">
        <v>3181</v>
      </c>
      <c r="K81" s="8">
        <v>0</v>
      </c>
      <c r="L81" s="8">
        <v>0</v>
      </c>
      <c r="M81" s="7">
        <v>19485</v>
      </c>
      <c r="N81" s="7">
        <v>1220</v>
      </c>
      <c r="O81" s="7">
        <v>40869</v>
      </c>
      <c r="P81" s="17" t="str">
        <f>"투표율: "&amp;TEXT(((G79/F79)*100), "0.00")&amp;"%"</f>
        <v>투표율: 40.79%</v>
      </c>
      <c r="Q81" s="12" t="str">
        <f>"기권율: "&amp;TEXT(((O79/F79)*100), "0.00")&amp;"%"</f>
        <v>기권율: 59.21%</v>
      </c>
      <c r="R81" s="17" t="str">
        <f>"유효투표율: "&amp;TEXT(((M79/G79)*100), "0.00")&amp;"%"</f>
        <v>유효투표율: 94.75%</v>
      </c>
      <c r="S81" s="12" t="str">
        <f>"무효투표율: "&amp;TEXT(((N79/G79)*100), "0.00")&amp;"%"</f>
        <v>무효투표율: 5.25%</v>
      </c>
      <c r="T81" s="48"/>
      <c r="U81" s="25" t="str">
        <f>TEXT(H79,"#,##0")&amp;CHAR(10)&amp;"("&amp;TEXT((ROUND((H79/(SUM($H79:$L79))*100),2)),"0.00")&amp;"%)"</f>
        <v>13,484
(50.52%)</v>
      </c>
      <c r="V81" s="25" t="str">
        <f>TEXT(I79,"#,##0")&amp;CHAR(10)&amp;"("&amp;TEXT((ROUND((I79/(SUM($H79:$L79))*100),2)),"0.00")&amp;"%)"</f>
        <v>8,773
(32.87%)</v>
      </c>
      <c r="W81" s="25" t="str">
        <f>TEXT(J79,"#,##0")&amp;CHAR(10)&amp;"("&amp;TEXT((ROUND((J79/(SUM($H79:$L79))*100),2)),"0.00")&amp;"%)"</f>
        <v>4,433
(16.61%)</v>
      </c>
      <c r="X81" s="25" t="str">
        <f>TEXT(K79,"#,##0")&amp;CHAR(10)&amp;"("&amp;TEXT((ROUND((K79/(SUM($H79:$L79))*100),2)),"0.00")&amp;"%)"</f>
        <v>0
(0.00%)</v>
      </c>
      <c r="Y81" s="25" t="str">
        <f>TEXT(L79,"#,##0")&amp;CHAR(10)&amp;"("&amp;TEXT((ROUND((L79/(SUM($H79:$L79))*100),2)),"0.00")&amp;"%)"</f>
        <v>0
(0.00%)</v>
      </c>
      <c r="Z81">
        <f>SUBSTITUTE(SUBSTITUTE(LEFT(U81,FIND("(",U81)-1),",",""),CHAR(10),"")+0</f>
        <v>13484</v>
      </c>
      <c r="AA81">
        <f>SUBSTITUTE(SUBSTITUTE(LEFT(V81,FIND("(",V81)-1),",",""),CHAR(10),"")+0</f>
        <v>8773</v>
      </c>
      <c r="AB81">
        <f>SUBSTITUTE(SUBSTITUTE(LEFT(W81,FIND("(",W81)-1),",",""),CHAR(10),"")+0</f>
        <v>4433</v>
      </c>
      <c r="AC81">
        <f>SUBSTITUTE(SUBSTITUTE(LEFT(X81,FIND("(",X81)-1),",",""),CHAR(10),"")+0</f>
        <v>0</v>
      </c>
      <c r="AD81">
        <f>SUBSTITUTE(SUBSTITUTE(LEFT(Y81,FIND("(",Y81)-1),",",""),CHAR(10),"")+0</f>
        <v>0</v>
      </c>
    </row>
    <row r="82" spans="1:30" ht="17.25" thickBot="1">
      <c r="A82" s="2" t="s">
        <v>0</v>
      </c>
      <c r="B82" s="2" t="s">
        <v>1</v>
      </c>
      <c r="C82" s="2" t="s">
        <v>70</v>
      </c>
      <c r="D82" s="2" t="s">
        <v>22</v>
      </c>
      <c r="E82" s="2" t="s">
        <v>2</v>
      </c>
      <c r="F82" s="8">
        <v>0</v>
      </c>
      <c r="G82" s="8">
        <v>63</v>
      </c>
      <c r="H82" s="8">
        <v>17</v>
      </c>
      <c r="I82" s="8">
        <v>27</v>
      </c>
      <c r="J82" s="8">
        <v>7</v>
      </c>
      <c r="K82" s="8">
        <v>0</v>
      </c>
      <c r="L82" s="8">
        <v>0</v>
      </c>
      <c r="M82" s="8">
        <v>51</v>
      </c>
      <c r="N82" s="8">
        <v>12</v>
      </c>
      <c r="O82" s="8">
        <v>-63</v>
      </c>
    </row>
    <row r="83" spans="1:30" ht="17.25" thickBot="1">
      <c r="P83" s="13" t="s">
        <v>143</v>
      </c>
      <c r="Q83" s="14" t="s">
        <v>145</v>
      </c>
      <c r="R83" s="19" t="s">
        <v>147</v>
      </c>
    </row>
    <row r="84" spans="1:30" ht="17.25" thickBot="1">
      <c r="P84" s="31" t="str">
        <f>TEXT(((N79+N71)/(M79+M71))*100, "0.00")&amp;"%"</f>
        <v>6.55%</v>
      </c>
      <c r="Q84" s="32" t="str">
        <f>TEXT(((N39+N31+N23)/(M39+M31+M23))*100, "0.00")&amp;"%"</f>
        <v>7.36%</v>
      </c>
      <c r="R84" s="33" t="str">
        <f>TEXT(((N63+N55+N47)/(M63+M55+M47))*100, "0.00")&amp;"%"</f>
        <v>6.38%</v>
      </c>
    </row>
    <row r="85" spans="1:30">
      <c r="O85" s="11" t="s">
        <v>181</v>
      </c>
      <c r="P85" s="11" t="s">
        <v>174</v>
      </c>
      <c r="Q85" s="11" t="s">
        <v>168</v>
      </c>
      <c r="R85" s="11" t="s">
        <v>183</v>
      </c>
    </row>
    <row r="86" spans="1:30">
      <c r="O86" s="11" t="s">
        <v>175</v>
      </c>
      <c r="P86" s="11" t="s">
        <v>178</v>
      </c>
      <c r="Q86" s="11" t="s">
        <v>170</v>
      </c>
      <c r="R86" s="11" t="s">
        <v>180</v>
      </c>
    </row>
    <row r="87" spans="1:30" ht="17.25" thickBot="1">
      <c r="O87" s="11" t="s">
        <v>176</v>
      </c>
      <c r="P87" s="11" t="s">
        <v>180</v>
      </c>
      <c r="Q87" s="11" t="s">
        <v>172</v>
      </c>
      <c r="R87" s="11" t="s">
        <v>170</v>
      </c>
    </row>
    <row r="88" spans="1:30" ht="17.25" thickBot="1">
      <c r="O88" s="11"/>
      <c r="P88" s="58" t="s">
        <v>194</v>
      </c>
      <c r="Q88" s="59"/>
      <c r="R88" s="60"/>
    </row>
    <row r="89" spans="1:30" ht="17.25" thickBot="1">
      <c r="P89" s="13" t="s">
        <v>141</v>
      </c>
      <c r="Q89" s="14" t="s">
        <v>139</v>
      </c>
      <c r="R89" s="19" t="s">
        <v>140</v>
      </c>
    </row>
    <row r="90" spans="1:30" ht="17.25" thickBot="1">
      <c r="P90" s="61">
        <f>(Z81+Z73+AA73)/(SUM(Z81:AD81,Z73:AD73))</f>
        <v>0.52041322769802023</v>
      </c>
      <c r="Q90" s="61">
        <f>(Z41+AA41+Z33+AA33+Z25)/(SUM(Z41:AD41,Z33:AD33,Z25:AD25))</f>
        <v>0.54358695424781911</v>
      </c>
      <c r="R90" s="62">
        <f>(Z65+AA65+Z57+Z49)/(SUM(Z65:AD65,Z57:AD57,Z49:AD49))</f>
        <v>0.51690216004269041</v>
      </c>
    </row>
    <row r="91" spans="1:30" ht="17.25" thickBot="1"/>
    <row r="92" spans="1:30" ht="17.25" thickBot="1">
      <c r="P92" s="58" t="s">
        <v>198</v>
      </c>
      <c r="Q92" s="59"/>
      <c r="R92" s="60"/>
    </row>
    <row r="93" spans="1:30" ht="17.25" thickBot="1">
      <c r="P93" s="66" t="s">
        <v>141</v>
      </c>
      <c r="Q93" s="67" t="s">
        <v>139</v>
      </c>
      <c r="R93" s="71" t="s">
        <v>140</v>
      </c>
    </row>
    <row r="94" spans="1:30" ht="17.25" thickBot="1">
      <c r="P94" s="86">
        <f>(AA81+AB81+AB73+AC73)/(SUM(Z81:AD81,Z73:AD73))</f>
        <v>0.45521222036359626</v>
      </c>
      <c r="Q94" s="86">
        <f>(AB41+AC41+AB33+AC33+AA25+AB25)/(SUM(Z41:AD41,Z33:AD33,Z25:AD25))</f>
        <v>0.43682140540992864</v>
      </c>
      <c r="R94" s="87">
        <f>(AB65+AA57+AC65+AA49+AB49)/(SUM(Z65:AD65,Z57:AD57,Z49:AD49))</f>
        <v>0.4256049743625438</v>
      </c>
    </row>
  </sheetData>
  <mergeCells count="53">
    <mergeCell ref="P88:R88"/>
    <mergeCell ref="P92:R92"/>
    <mergeCell ref="P72:Q72"/>
    <mergeCell ref="T72:T73"/>
    <mergeCell ref="P79:S79"/>
    <mergeCell ref="U79:Y79"/>
    <mergeCell ref="P80:Q80"/>
    <mergeCell ref="T80:T81"/>
    <mergeCell ref="P63:S63"/>
    <mergeCell ref="U63:Y63"/>
    <mergeCell ref="P64:Q64"/>
    <mergeCell ref="T64:T65"/>
    <mergeCell ref="P71:S71"/>
    <mergeCell ref="U71:Y71"/>
    <mergeCell ref="P48:Q48"/>
    <mergeCell ref="T48:T49"/>
    <mergeCell ref="P55:S55"/>
    <mergeCell ref="U55:Y55"/>
    <mergeCell ref="P56:Q56"/>
    <mergeCell ref="T56:T57"/>
    <mergeCell ref="P39:S39"/>
    <mergeCell ref="U39:Y39"/>
    <mergeCell ref="P40:Q40"/>
    <mergeCell ref="T40:T41"/>
    <mergeCell ref="P47:S47"/>
    <mergeCell ref="U47:Y47"/>
    <mergeCell ref="P24:Q24"/>
    <mergeCell ref="T24:T25"/>
    <mergeCell ref="P31:S31"/>
    <mergeCell ref="U31:Y31"/>
    <mergeCell ref="P32:Q32"/>
    <mergeCell ref="T32:T33"/>
    <mergeCell ref="P15:S15"/>
    <mergeCell ref="U15:Y15"/>
    <mergeCell ref="P16:Q16"/>
    <mergeCell ref="T16:T17"/>
    <mergeCell ref="P23:S23"/>
    <mergeCell ref="U23:Y23"/>
    <mergeCell ref="P7:S7"/>
    <mergeCell ref="P8:Q8"/>
    <mergeCell ref="T8:T9"/>
    <mergeCell ref="U7:Y7"/>
    <mergeCell ref="G1:G2"/>
    <mergeCell ref="M1:M2"/>
    <mergeCell ref="N1:N2"/>
    <mergeCell ref="O1:O2"/>
    <mergeCell ref="H1:L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A50F-E23A-4DD1-9F3A-FD5E23E7114A}">
  <dimension ref="A1:X84"/>
  <sheetViews>
    <sheetView topLeftCell="A39" zoomScale="70" zoomScaleNormal="70" workbookViewId="0">
      <selection activeCell="P7" sqref="P7:V71"/>
    </sheetView>
  </sheetViews>
  <sheetFormatPr defaultRowHeight="16.5"/>
  <cols>
    <col min="3" max="3" width="14.625" bestFit="1" customWidth="1"/>
    <col min="16" max="16" width="15.125" bestFit="1" customWidth="1"/>
    <col min="17" max="17" width="13.875" bestFit="1" customWidth="1"/>
    <col min="18" max="18" width="18.75" bestFit="1" customWidth="1"/>
    <col min="19" max="19" width="19.25" bestFit="1" customWidth="1"/>
    <col min="21" max="21" width="19.25" bestFit="1" customWidth="1"/>
    <col min="22" max="22" width="15.5" bestFit="1" customWidth="1"/>
  </cols>
  <sheetData>
    <row r="1" spans="1:24">
      <c r="A1" s="38" t="s">
        <v>107</v>
      </c>
      <c r="B1" s="38" t="s">
        <v>108</v>
      </c>
      <c r="C1" s="38" t="s">
        <v>123</v>
      </c>
      <c r="D1" s="38" t="s">
        <v>110</v>
      </c>
      <c r="E1" s="38" t="s">
        <v>111</v>
      </c>
      <c r="F1" s="38" t="s">
        <v>112</v>
      </c>
      <c r="G1" s="38" t="s">
        <v>113</v>
      </c>
      <c r="H1" s="38" t="s">
        <v>114</v>
      </c>
      <c r="I1" s="38"/>
      <c r="J1" s="38"/>
      <c r="K1" s="38"/>
      <c r="L1" s="38"/>
      <c r="M1" s="38" t="s">
        <v>115</v>
      </c>
      <c r="N1" s="38" t="s">
        <v>116</v>
      </c>
      <c r="O1" s="38" t="s">
        <v>117</v>
      </c>
    </row>
    <row r="2" spans="1:24">
      <c r="A2" s="38"/>
      <c r="B2" s="38"/>
      <c r="C2" s="38"/>
      <c r="D2" s="38"/>
      <c r="E2" s="38"/>
      <c r="F2" s="38" t="s">
        <v>112</v>
      </c>
      <c r="G2" s="38" t="s">
        <v>112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38" t="s">
        <v>112</v>
      </c>
      <c r="N2" s="38" t="s">
        <v>112</v>
      </c>
      <c r="O2" s="38" t="s">
        <v>112</v>
      </c>
      <c r="S2" t="s">
        <v>166</v>
      </c>
    </row>
    <row r="3" spans="1:24" ht="165">
      <c r="A3" s="2" t="s">
        <v>0</v>
      </c>
      <c r="B3" s="2" t="s">
        <v>1</v>
      </c>
      <c r="C3" s="2" t="s">
        <v>77</v>
      </c>
      <c r="D3" s="2" t="s">
        <v>2</v>
      </c>
      <c r="E3" s="2" t="s">
        <v>2</v>
      </c>
      <c r="F3" s="2" t="s">
        <v>2</v>
      </c>
      <c r="G3" s="2" t="s">
        <v>2</v>
      </c>
      <c r="H3" s="9" t="s">
        <v>78</v>
      </c>
      <c r="I3" s="9" t="s">
        <v>79</v>
      </c>
      <c r="J3" s="3" t="s">
        <v>5</v>
      </c>
      <c r="K3" s="3" t="s">
        <v>5</v>
      </c>
      <c r="L3" s="3" t="s">
        <v>5</v>
      </c>
      <c r="M3" s="2" t="s">
        <v>2</v>
      </c>
      <c r="N3" s="2" t="s">
        <v>2</v>
      </c>
      <c r="O3" s="2" t="s">
        <v>2</v>
      </c>
      <c r="R3" s="1" t="str">
        <f>_xlfn.TEXTJOIN(CHAR(10),TRUE,P7,P15,P23,P26,P34,P42,P45,P53,P61,P69)</f>
        <v>부천동
심곡동
중동
상동
신중동
대산동
소사본동
범안동
성곡동
오정동</v>
      </c>
      <c r="S3" t="s">
        <v>165</v>
      </c>
    </row>
    <row r="4" spans="1:24">
      <c r="A4" s="2" t="s">
        <v>0</v>
      </c>
      <c r="B4" s="2" t="s">
        <v>1</v>
      </c>
      <c r="C4" s="2" t="s">
        <v>77</v>
      </c>
      <c r="D4" s="2" t="s">
        <v>6</v>
      </c>
      <c r="E4" s="2" t="s">
        <v>2</v>
      </c>
      <c r="F4" s="7">
        <v>79200</v>
      </c>
      <c r="G4" s="7">
        <v>37867</v>
      </c>
      <c r="H4" s="7">
        <v>20472</v>
      </c>
      <c r="I4" s="7">
        <v>16259</v>
      </c>
      <c r="J4" s="8">
        <v>0</v>
      </c>
      <c r="K4" s="8">
        <v>0</v>
      </c>
      <c r="L4" s="8">
        <v>0</v>
      </c>
      <c r="M4" s="7">
        <v>36731</v>
      </c>
      <c r="N4" s="7">
        <v>1136</v>
      </c>
      <c r="O4" s="7">
        <v>41333</v>
      </c>
    </row>
    <row r="5" spans="1:24">
      <c r="A5" s="2" t="s">
        <v>0</v>
      </c>
      <c r="B5" s="2" t="s">
        <v>1</v>
      </c>
      <c r="C5" s="2" t="s">
        <v>77</v>
      </c>
      <c r="D5" s="2" t="s">
        <v>7</v>
      </c>
      <c r="E5" s="2" t="s">
        <v>2</v>
      </c>
      <c r="F5" s="8">
        <v>68</v>
      </c>
      <c r="G5" s="8">
        <v>67</v>
      </c>
      <c r="H5" s="8">
        <v>33</v>
      </c>
      <c r="I5" s="8">
        <v>28</v>
      </c>
      <c r="J5" s="8">
        <v>0</v>
      </c>
      <c r="K5" s="8">
        <v>0</v>
      </c>
      <c r="L5" s="8">
        <v>0</v>
      </c>
      <c r="M5" s="8">
        <v>61</v>
      </c>
      <c r="N5" s="8">
        <v>6</v>
      </c>
      <c r="O5" s="8">
        <v>1</v>
      </c>
    </row>
    <row r="6" spans="1:24" ht="17.25" thickBot="1">
      <c r="A6" s="2" t="s">
        <v>0</v>
      </c>
      <c r="B6" s="2" t="s">
        <v>1</v>
      </c>
      <c r="C6" s="2" t="s">
        <v>77</v>
      </c>
      <c r="D6" s="2" t="s">
        <v>8</v>
      </c>
      <c r="E6" s="2" t="s">
        <v>2</v>
      </c>
      <c r="F6" s="7">
        <v>4051</v>
      </c>
      <c r="G6" s="7">
        <v>4043</v>
      </c>
      <c r="H6" s="7">
        <v>2343</v>
      </c>
      <c r="I6" s="7">
        <v>1586</v>
      </c>
      <c r="J6" s="8">
        <v>0</v>
      </c>
      <c r="K6" s="8">
        <v>0</v>
      </c>
      <c r="L6" s="8">
        <v>0</v>
      </c>
      <c r="M6" s="7">
        <v>3929</v>
      </c>
      <c r="N6" s="8">
        <v>114</v>
      </c>
      <c r="O6" s="8">
        <v>8</v>
      </c>
    </row>
    <row r="7" spans="1:24" ht="17.25" thickBot="1">
      <c r="A7" s="2" t="s">
        <v>0</v>
      </c>
      <c r="B7" s="2" t="s">
        <v>1</v>
      </c>
      <c r="C7" s="2" t="s">
        <v>77</v>
      </c>
      <c r="D7" s="2" t="s">
        <v>13</v>
      </c>
      <c r="E7" s="2" t="s">
        <v>10</v>
      </c>
      <c r="F7" s="7">
        <v>75081</v>
      </c>
      <c r="G7" s="7">
        <v>33682</v>
      </c>
      <c r="H7" s="7">
        <v>18068</v>
      </c>
      <c r="I7" s="7">
        <v>14608</v>
      </c>
      <c r="J7" s="8">
        <v>0</v>
      </c>
      <c r="K7" s="8">
        <v>0</v>
      </c>
      <c r="L7" s="8">
        <v>0</v>
      </c>
      <c r="M7" s="7">
        <v>32676</v>
      </c>
      <c r="N7" s="7">
        <v>1006</v>
      </c>
      <c r="O7" s="7">
        <v>41399</v>
      </c>
      <c r="P7" s="44" t="str">
        <f>D7</f>
        <v>부천동</v>
      </c>
      <c r="Q7" s="53"/>
      <c r="R7" s="53"/>
      <c r="S7" s="54"/>
      <c r="T7" s="30" t="s">
        <v>138</v>
      </c>
      <c r="U7" s="49" t="s">
        <v>136</v>
      </c>
      <c r="V7" s="50"/>
    </row>
    <row r="8" spans="1:24" ht="17.25" thickBot="1">
      <c r="A8" s="2" t="s">
        <v>0</v>
      </c>
      <c r="B8" s="2" t="s">
        <v>1</v>
      </c>
      <c r="C8" s="2" t="s">
        <v>77</v>
      </c>
      <c r="D8" s="2" t="s">
        <v>13</v>
      </c>
      <c r="E8" s="2" t="s">
        <v>11</v>
      </c>
      <c r="F8" s="7">
        <v>11409</v>
      </c>
      <c r="G8" s="7">
        <v>11363</v>
      </c>
      <c r="H8" s="7">
        <v>6386</v>
      </c>
      <c r="I8" s="7">
        <v>4700</v>
      </c>
      <c r="J8" s="8">
        <v>0</v>
      </c>
      <c r="K8" s="8">
        <v>0</v>
      </c>
      <c r="L8" s="8">
        <v>0</v>
      </c>
      <c r="M8" s="7">
        <v>11086</v>
      </c>
      <c r="N8" s="8">
        <v>277</v>
      </c>
      <c r="O8" s="8">
        <v>46</v>
      </c>
      <c r="P8" s="40" t="str">
        <f>"투표수: "&amp;TEXT((SUM(H7:K7)+N7), "#,##0")</f>
        <v>투표수: 33,682</v>
      </c>
      <c r="Q8" s="42"/>
      <c r="R8" s="18" t="str">
        <f>"유효투표수: "&amp;TEXT(SUM(H7:K7),"#,##0")</f>
        <v>유효투표수: 32,676</v>
      </c>
      <c r="S8" s="16" t="str">
        <f>"무효투표수: "&amp;TEXT(N7, "#,##0")</f>
        <v>무효투표수: 1,006</v>
      </c>
      <c r="T8" s="47" t="s">
        <v>154</v>
      </c>
      <c r="U8" s="73" t="str">
        <f>H3</f>
        <v>더불어민주당
염종현</v>
      </c>
      <c r="V8" s="73" t="str">
        <f>I3</f>
        <v>국민의힘
원종태</v>
      </c>
    </row>
    <row r="9" spans="1:24" ht="17.25" thickBot="1">
      <c r="A9" s="2" t="s">
        <v>0</v>
      </c>
      <c r="B9" s="2" t="s">
        <v>1</v>
      </c>
      <c r="C9" s="2" t="s">
        <v>77</v>
      </c>
      <c r="D9" s="2" t="s">
        <v>13</v>
      </c>
      <c r="E9" s="2" t="s">
        <v>12</v>
      </c>
      <c r="F9" s="7">
        <v>63672</v>
      </c>
      <c r="G9" s="7">
        <v>22319</v>
      </c>
      <c r="H9" s="7">
        <v>11682</v>
      </c>
      <c r="I9" s="7">
        <v>9908</v>
      </c>
      <c r="J9" s="8">
        <v>0</v>
      </c>
      <c r="K9" s="8">
        <v>0</v>
      </c>
      <c r="L9" s="8">
        <v>0</v>
      </c>
      <c r="M9" s="7">
        <v>21590</v>
      </c>
      <c r="N9" s="8">
        <v>729</v>
      </c>
      <c r="O9" s="7">
        <v>41353</v>
      </c>
      <c r="P9" s="17" t="str">
        <f>"투표율: "&amp;TEXT(((G7/F7)*100), "0.00")&amp;"%"</f>
        <v>투표율: 44.86%</v>
      </c>
      <c r="Q9" s="12" t="str">
        <f>"기권율: "&amp;TEXT(((O7/F7)*100), "0.00")&amp;"%"</f>
        <v>기권율: 55.14%</v>
      </c>
      <c r="R9" s="17" t="str">
        <f>"유효투표율: "&amp;TEXT(((M7/G7)*100), "0.00")&amp;"%"</f>
        <v>유효투표율: 97.01%</v>
      </c>
      <c r="S9" s="12" t="str">
        <f>"무효투표율: "&amp;TEXT(((N7/G7)*100), "0.00")&amp;"%"</f>
        <v>무효투표율: 2.99%</v>
      </c>
      <c r="T9" s="48"/>
      <c r="U9" s="25" t="str">
        <f>TEXT(H7,"#,##0")&amp;CHAR(10)&amp;"("&amp;TEXT((ROUND((H7/(SUM(H7:K7))*100),2)),"0.00")&amp;"%)"</f>
        <v>18,068
(55.29%)</v>
      </c>
      <c r="V9" s="25" t="str">
        <f>TEXT(I7,"#,##0")&amp;CHAR(10)&amp;"("&amp;TEXT((ROUND((I7/(SUM(H7:K7))*100),2)),"0.00")&amp;"%)"</f>
        <v>14,608
(44.71%)</v>
      </c>
      <c r="W9">
        <f>SUBSTITUTE(SUBSTITUTE(LEFT(U9,FIND("(",U9)-1),",",""),CHAR(10),"")+0</f>
        <v>18068</v>
      </c>
      <c r="X9">
        <f>SUBSTITUTE(SUBSTITUTE(LEFT(V9,FIND("(",V9)-1),",",""),CHAR(10),"")+0</f>
        <v>14608</v>
      </c>
    </row>
    <row r="10" spans="1:24">
      <c r="A10" s="2" t="s">
        <v>0</v>
      </c>
      <c r="B10" s="2" t="s">
        <v>1</v>
      </c>
      <c r="C10" s="2" t="s">
        <v>77</v>
      </c>
      <c r="D10" s="2" t="s">
        <v>22</v>
      </c>
      <c r="E10" s="2" t="s">
        <v>2</v>
      </c>
      <c r="F10" s="8">
        <v>0</v>
      </c>
      <c r="G10" s="8">
        <v>75</v>
      </c>
      <c r="H10" s="8">
        <v>28</v>
      </c>
      <c r="I10" s="8">
        <v>37</v>
      </c>
      <c r="J10" s="8">
        <v>0</v>
      </c>
      <c r="K10" s="8">
        <v>0</v>
      </c>
      <c r="L10" s="8">
        <v>0</v>
      </c>
      <c r="M10" s="8">
        <v>65</v>
      </c>
      <c r="N10" s="8">
        <v>10</v>
      </c>
      <c r="O10" s="8">
        <v>-75</v>
      </c>
    </row>
    <row r="11" spans="1:24" ht="40.5">
      <c r="A11" s="2" t="s">
        <v>0</v>
      </c>
      <c r="B11" s="2" t="s">
        <v>1</v>
      </c>
      <c r="C11" s="2" t="s">
        <v>80</v>
      </c>
      <c r="D11" s="2" t="s">
        <v>2</v>
      </c>
      <c r="E11" s="2" t="s">
        <v>2</v>
      </c>
      <c r="F11" s="7" t="s">
        <v>2</v>
      </c>
      <c r="G11" s="7" t="s">
        <v>2</v>
      </c>
      <c r="H11" s="9" t="s">
        <v>81</v>
      </c>
      <c r="I11" s="9" t="s">
        <v>82</v>
      </c>
      <c r="J11" s="9" t="s">
        <v>5</v>
      </c>
      <c r="K11" s="9" t="s">
        <v>5</v>
      </c>
      <c r="L11" s="9" t="s">
        <v>5</v>
      </c>
      <c r="M11" s="7" t="s">
        <v>2</v>
      </c>
      <c r="N11" s="7" t="s">
        <v>2</v>
      </c>
      <c r="O11" s="7" t="s">
        <v>2</v>
      </c>
    </row>
    <row r="12" spans="1:24">
      <c r="A12" s="2" t="s">
        <v>0</v>
      </c>
      <c r="B12" s="2" t="s">
        <v>1</v>
      </c>
      <c r="C12" s="2" t="s">
        <v>80</v>
      </c>
      <c r="D12" s="2" t="s">
        <v>6</v>
      </c>
      <c r="E12" s="2" t="s">
        <v>2</v>
      </c>
      <c r="F12" s="7">
        <v>58772</v>
      </c>
      <c r="G12" s="7">
        <v>24790</v>
      </c>
      <c r="H12" s="7">
        <v>12764</v>
      </c>
      <c r="I12" s="7">
        <v>11420</v>
      </c>
      <c r="J12" s="8">
        <v>0</v>
      </c>
      <c r="K12" s="8">
        <v>0</v>
      </c>
      <c r="L12" s="8">
        <v>0</v>
      </c>
      <c r="M12" s="7">
        <v>24184</v>
      </c>
      <c r="N12" s="8">
        <v>606</v>
      </c>
      <c r="O12" s="7">
        <v>33982</v>
      </c>
    </row>
    <row r="13" spans="1:24">
      <c r="A13" s="2" t="s">
        <v>0</v>
      </c>
      <c r="B13" s="2" t="s">
        <v>1</v>
      </c>
      <c r="C13" s="2" t="s">
        <v>80</v>
      </c>
      <c r="D13" s="2" t="s">
        <v>7</v>
      </c>
      <c r="E13" s="2" t="s">
        <v>2</v>
      </c>
      <c r="F13" s="8">
        <v>74</v>
      </c>
      <c r="G13" s="8">
        <v>71</v>
      </c>
      <c r="H13" s="8">
        <v>37</v>
      </c>
      <c r="I13" s="8">
        <v>27</v>
      </c>
      <c r="J13" s="8">
        <v>0</v>
      </c>
      <c r="K13" s="8">
        <v>0</v>
      </c>
      <c r="L13" s="8">
        <v>0</v>
      </c>
      <c r="M13" s="8">
        <v>64</v>
      </c>
      <c r="N13" s="8">
        <v>7</v>
      </c>
      <c r="O13" s="8">
        <v>3</v>
      </c>
    </row>
    <row r="14" spans="1:24" ht="17.25" thickBot="1">
      <c r="A14" s="2" t="s">
        <v>0</v>
      </c>
      <c r="B14" s="2" t="s">
        <v>1</v>
      </c>
      <c r="C14" s="2" t="s">
        <v>80</v>
      </c>
      <c r="D14" s="2" t="s">
        <v>8</v>
      </c>
      <c r="E14" s="2" t="s">
        <v>2</v>
      </c>
      <c r="F14" s="7">
        <v>3154</v>
      </c>
      <c r="G14" s="7">
        <v>3148</v>
      </c>
      <c r="H14" s="7">
        <v>1758</v>
      </c>
      <c r="I14" s="7">
        <v>1311</v>
      </c>
      <c r="J14" s="8">
        <v>0</v>
      </c>
      <c r="K14" s="8">
        <v>0</v>
      </c>
      <c r="L14" s="8">
        <v>0</v>
      </c>
      <c r="M14" s="7">
        <v>3069</v>
      </c>
      <c r="N14" s="8">
        <v>79</v>
      </c>
      <c r="O14" s="8">
        <v>6</v>
      </c>
    </row>
    <row r="15" spans="1:24" ht="17.25" thickBot="1">
      <c r="A15" s="2" t="s">
        <v>0</v>
      </c>
      <c r="B15" s="2" t="s">
        <v>1</v>
      </c>
      <c r="C15" s="2" t="s">
        <v>80</v>
      </c>
      <c r="D15" s="2" t="s">
        <v>9</v>
      </c>
      <c r="E15" s="2" t="s">
        <v>10</v>
      </c>
      <c r="F15" s="7">
        <v>55544</v>
      </c>
      <c r="G15" s="7">
        <v>21539</v>
      </c>
      <c r="H15" s="7">
        <v>10951</v>
      </c>
      <c r="I15" s="7">
        <v>10074</v>
      </c>
      <c r="J15" s="8">
        <v>0</v>
      </c>
      <c r="K15" s="8">
        <v>0</v>
      </c>
      <c r="L15" s="8">
        <v>0</v>
      </c>
      <c r="M15" s="7">
        <v>21025</v>
      </c>
      <c r="N15" s="8">
        <v>514</v>
      </c>
      <c r="O15" s="7">
        <v>34005</v>
      </c>
      <c r="P15" s="44" t="str">
        <f>D15</f>
        <v>심곡동</v>
      </c>
      <c r="Q15" s="53"/>
      <c r="R15" s="53"/>
      <c r="S15" s="54"/>
      <c r="T15" s="30" t="s">
        <v>138</v>
      </c>
      <c r="U15" s="49" t="s">
        <v>136</v>
      </c>
      <c r="V15" s="50"/>
    </row>
    <row r="16" spans="1:24" ht="17.25" thickBot="1">
      <c r="A16" s="2" t="s">
        <v>0</v>
      </c>
      <c r="B16" s="2" t="s">
        <v>1</v>
      </c>
      <c r="C16" s="2" t="s">
        <v>80</v>
      </c>
      <c r="D16" s="2" t="s">
        <v>9</v>
      </c>
      <c r="E16" s="2" t="s">
        <v>11</v>
      </c>
      <c r="F16" s="7">
        <v>7646</v>
      </c>
      <c r="G16" s="7">
        <v>7627</v>
      </c>
      <c r="H16" s="7">
        <v>3931</v>
      </c>
      <c r="I16" s="7">
        <v>3480</v>
      </c>
      <c r="J16" s="8">
        <v>0</v>
      </c>
      <c r="K16" s="8">
        <v>0</v>
      </c>
      <c r="L16" s="8">
        <v>0</v>
      </c>
      <c r="M16" s="7">
        <v>7411</v>
      </c>
      <c r="N16" s="8">
        <v>216</v>
      </c>
      <c r="O16" s="8">
        <v>19</v>
      </c>
      <c r="P16" s="40" t="str">
        <f>"투표수: "&amp;TEXT((SUM(H15:K15)+N15), "#,##0")</f>
        <v>투표수: 21,539</v>
      </c>
      <c r="Q16" s="42"/>
      <c r="R16" s="18" t="str">
        <f>"유효투표수: "&amp;TEXT(SUM(H15:K15),"#,##0")</f>
        <v>유효투표수: 21,025</v>
      </c>
      <c r="S16" s="16" t="str">
        <f>"무효투표수: "&amp;TEXT(N15, "#,##0")</f>
        <v>무효투표수: 514</v>
      </c>
      <c r="T16" s="47" t="s">
        <v>154</v>
      </c>
      <c r="U16" s="73" t="str">
        <f>H11</f>
        <v>더불어민주당
이선구</v>
      </c>
      <c r="V16" s="73" t="str">
        <f>I11</f>
        <v>국민의힘
황인직</v>
      </c>
    </row>
    <row r="17" spans="1:24" ht="17.25" thickBot="1">
      <c r="A17" s="2" t="s">
        <v>0</v>
      </c>
      <c r="B17" s="2" t="s">
        <v>1</v>
      </c>
      <c r="C17" s="2" t="s">
        <v>80</v>
      </c>
      <c r="D17" s="2" t="s">
        <v>9</v>
      </c>
      <c r="E17" s="2" t="s">
        <v>12</v>
      </c>
      <c r="F17" s="7">
        <v>47898</v>
      </c>
      <c r="G17" s="7">
        <v>13912</v>
      </c>
      <c r="H17" s="7">
        <v>7020</v>
      </c>
      <c r="I17" s="7">
        <v>6594</v>
      </c>
      <c r="J17" s="8">
        <v>0</v>
      </c>
      <c r="K17" s="8">
        <v>0</v>
      </c>
      <c r="L17" s="8">
        <v>0</v>
      </c>
      <c r="M17" s="7">
        <v>13614</v>
      </c>
      <c r="N17" s="8">
        <v>298</v>
      </c>
      <c r="O17" s="7">
        <v>33986</v>
      </c>
      <c r="P17" s="17" t="str">
        <f>"투표율: "&amp;TEXT(((G15/F15)*100), "0.00")&amp;"%"</f>
        <v>투표율: 38.78%</v>
      </c>
      <c r="Q17" s="12" t="str">
        <f>"기권율: "&amp;TEXT(((O15/F15)*100), "0.00")&amp;"%"</f>
        <v>기권율: 61.22%</v>
      </c>
      <c r="R17" s="17" t="str">
        <f>"유효투표율: "&amp;TEXT(((M15/G15)*100), "0.00")&amp;"%"</f>
        <v>유효투표율: 97.61%</v>
      </c>
      <c r="S17" s="12" t="str">
        <f>"무효투표율: "&amp;TEXT(((N15/G15)*100), "0.00")&amp;"%"</f>
        <v>무효투표율: 2.39%</v>
      </c>
      <c r="T17" s="48"/>
      <c r="U17" s="25" t="str">
        <f>TEXT(H15,"#,##0")&amp;CHAR(10)&amp;"("&amp;TEXT((ROUND((H15/(SUM(H15:K15))*100),2)),"0.00")&amp;"%)"</f>
        <v>10,951
(52.09%)</v>
      </c>
      <c r="V17" s="25" t="str">
        <f>TEXT(I15,"#,##0")&amp;CHAR(10)&amp;"("&amp;TEXT((ROUND((I15/(SUM(H15:K15))*100),2)),"0.00")&amp;"%)"</f>
        <v>10,074
(47.91%)</v>
      </c>
      <c r="W17">
        <f>SUBSTITUTE(SUBSTITUTE(LEFT(U17,FIND("(",U17)-1),",",""),CHAR(10),"")+0</f>
        <v>10951</v>
      </c>
      <c r="X17">
        <f>SUBSTITUTE(SUBSTITUTE(LEFT(V17,FIND("(",V17)-1),",",""),CHAR(10),"")+0</f>
        <v>10074</v>
      </c>
    </row>
    <row r="18" spans="1:24">
      <c r="A18" s="2" t="s">
        <v>0</v>
      </c>
      <c r="B18" s="2" t="s">
        <v>1</v>
      </c>
      <c r="C18" s="2" t="s">
        <v>80</v>
      </c>
      <c r="D18" s="2" t="s">
        <v>22</v>
      </c>
      <c r="E18" s="2" t="s">
        <v>2</v>
      </c>
      <c r="F18" s="8">
        <v>0</v>
      </c>
      <c r="G18" s="8">
        <v>32</v>
      </c>
      <c r="H18" s="8">
        <v>18</v>
      </c>
      <c r="I18" s="8">
        <v>8</v>
      </c>
      <c r="J18" s="8">
        <v>0</v>
      </c>
      <c r="K18" s="8">
        <v>0</v>
      </c>
      <c r="L18" s="8">
        <v>0</v>
      </c>
      <c r="M18" s="8">
        <v>26</v>
      </c>
      <c r="N18" s="8">
        <v>6</v>
      </c>
      <c r="O18" s="8">
        <v>-32</v>
      </c>
    </row>
    <row r="19" spans="1:24" ht="40.5">
      <c r="A19" s="2" t="s">
        <v>0</v>
      </c>
      <c r="B19" s="2" t="s">
        <v>1</v>
      </c>
      <c r="C19" s="2" t="s">
        <v>83</v>
      </c>
      <c r="D19" s="2" t="s">
        <v>2</v>
      </c>
      <c r="E19" s="2" t="s">
        <v>2</v>
      </c>
      <c r="F19" s="7" t="s">
        <v>2</v>
      </c>
      <c r="G19" s="7" t="s">
        <v>2</v>
      </c>
      <c r="H19" s="9" t="s">
        <v>84</v>
      </c>
      <c r="I19" s="9" t="s">
        <v>85</v>
      </c>
      <c r="J19" s="9" t="s">
        <v>5</v>
      </c>
      <c r="K19" s="9" t="s">
        <v>5</v>
      </c>
      <c r="L19" s="9" t="s">
        <v>5</v>
      </c>
      <c r="M19" s="7" t="s">
        <v>2</v>
      </c>
      <c r="N19" s="7" t="s">
        <v>2</v>
      </c>
      <c r="O19" s="7" t="s">
        <v>2</v>
      </c>
    </row>
    <row r="20" spans="1:24">
      <c r="A20" s="2" t="s">
        <v>0</v>
      </c>
      <c r="B20" s="2" t="s">
        <v>1</v>
      </c>
      <c r="C20" s="2" t="s">
        <v>83</v>
      </c>
      <c r="D20" s="2" t="s">
        <v>6</v>
      </c>
      <c r="E20" s="2" t="s">
        <v>2</v>
      </c>
      <c r="F20" s="7">
        <v>105483</v>
      </c>
      <c r="G20" s="7">
        <v>57591</v>
      </c>
      <c r="H20" s="7">
        <v>30207</v>
      </c>
      <c r="I20" s="7">
        <v>26033</v>
      </c>
      <c r="J20" s="8">
        <v>0</v>
      </c>
      <c r="K20" s="8">
        <v>0</v>
      </c>
      <c r="L20" s="8">
        <v>0</v>
      </c>
      <c r="M20" s="7">
        <v>56240</v>
      </c>
      <c r="N20" s="7">
        <v>1351</v>
      </c>
      <c r="O20" s="7">
        <v>47892</v>
      </c>
    </row>
    <row r="21" spans="1:24">
      <c r="A21" s="2" t="s">
        <v>0</v>
      </c>
      <c r="B21" s="2" t="s">
        <v>1</v>
      </c>
      <c r="C21" s="2" t="s">
        <v>83</v>
      </c>
      <c r="D21" s="2" t="s">
        <v>7</v>
      </c>
      <c r="E21" s="2" t="s">
        <v>2</v>
      </c>
      <c r="F21" s="8">
        <v>133</v>
      </c>
      <c r="G21" s="8">
        <v>127</v>
      </c>
      <c r="H21" s="8">
        <v>50</v>
      </c>
      <c r="I21" s="8">
        <v>64</v>
      </c>
      <c r="J21" s="8">
        <v>0</v>
      </c>
      <c r="K21" s="8">
        <v>0</v>
      </c>
      <c r="L21" s="8">
        <v>0</v>
      </c>
      <c r="M21" s="8">
        <v>114</v>
      </c>
      <c r="N21" s="8">
        <v>13</v>
      </c>
      <c r="O21" s="8">
        <v>6</v>
      </c>
    </row>
    <row r="22" spans="1:24" ht="17.25" thickBot="1">
      <c r="A22" s="2" t="s">
        <v>0</v>
      </c>
      <c r="B22" s="2" t="s">
        <v>1</v>
      </c>
      <c r="C22" s="2" t="s">
        <v>83</v>
      </c>
      <c r="D22" s="2" t="s">
        <v>8</v>
      </c>
      <c r="E22" s="2" t="s">
        <v>2</v>
      </c>
      <c r="F22" s="7">
        <v>6372</v>
      </c>
      <c r="G22" s="7">
        <v>6350</v>
      </c>
      <c r="H22" s="7">
        <v>3462</v>
      </c>
      <c r="I22" s="7">
        <v>2739</v>
      </c>
      <c r="J22" s="8">
        <v>0</v>
      </c>
      <c r="K22" s="8">
        <v>0</v>
      </c>
      <c r="L22" s="8">
        <v>0</v>
      </c>
      <c r="M22" s="7">
        <v>6201</v>
      </c>
      <c r="N22" s="8">
        <v>149</v>
      </c>
      <c r="O22" s="8">
        <v>22</v>
      </c>
    </row>
    <row r="23" spans="1:24" ht="17.25" thickBot="1">
      <c r="A23" s="2" t="s">
        <v>0</v>
      </c>
      <c r="B23" s="2" t="s">
        <v>1</v>
      </c>
      <c r="C23" s="2" t="s">
        <v>83</v>
      </c>
      <c r="D23" s="2" t="s">
        <v>14</v>
      </c>
      <c r="E23" s="2" t="s">
        <v>10</v>
      </c>
      <c r="F23" s="7">
        <v>33255</v>
      </c>
      <c r="G23" s="7">
        <v>15976</v>
      </c>
      <c r="H23" s="7">
        <v>7855</v>
      </c>
      <c r="I23" s="7">
        <v>7904</v>
      </c>
      <c r="J23" s="8">
        <v>0</v>
      </c>
      <c r="K23" s="8">
        <v>0</v>
      </c>
      <c r="L23" s="8">
        <v>0</v>
      </c>
      <c r="M23" s="7">
        <v>15759</v>
      </c>
      <c r="N23" s="8">
        <v>217</v>
      </c>
      <c r="O23" s="7">
        <v>17279</v>
      </c>
      <c r="P23" s="44" t="str">
        <f>D23</f>
        <v>중동</v>
      </c>
      <c r="Q23" s="53"/>
      <c r="R23" s="53"/>
      <c r="S23" s="54"/>
      <c r="T23" s="30" t="s">
        <v>138</v>
      </c>
      <c r="U23" s="49" t="s">
        <v>136</v>
      </c>
      <c r="V23" s="50"/>
    </row>
    <row r="24" spans="1:24" ht="17.25" thickBot="1">
      <c r="A24" s="2" t="s">
        <v>0</v>
      </c>
      <c r="B24" s="2" t="s">
        <v>1</v>
      </c>
      <c r="C24" s="2" t="s">
        <v>83</v>
      </c>
      <c r="D24" s="2" t="s">
        <v>14</v>
      </c>
      <c r="E24" s="2" t="s">
        <v>11</v>
      </c>
      <c r="F24" s="7">
        <v>5125</v>
      </c>
      <c r="G24" s="7">
        <v>5103</v>
      </c>
      <c r="H24" s="7">
        <v>2530</v>
      </c>
      <c r="I24" s="7">
        <v>2485</v>
      </c>
      <c r="J24" s="8">
        <v>0</v>
      </c>
      <c r="K24" s="8">
        <v>0</v>
      </c>
      <c r="L24" s="8">
        <v>0</v>
      </c>
      <c r="M24" s="7">
        <v>5015</v>
      </c>
      <c r="N24" s="8">
        <v>88</v>
      </c>
      <c r="O24" s="8">
        <v>22</v>
      </c>
      <c r="P24" s="40" t="str">
        <f>"투표수: "&amp;TEXT((SUM(H23:K23)+N23), "#,##0")</f>
        <v>투표수: 15,976</v>
      </c>
      <c r="Q24" s="42"/>
      <c r="R24" s="18" t="str">
        <f>"유효투표수: "&amp;TEXT(SUM(H23:K23),"#,##0")</f>
        <v>유효투표수: 15,759</v>
      </c>
      <c r="S24" s="16" t="str">
        <f>"무효투표수: "&amp;TEXT(N23, "#,##0")</f>
        <v>무효투표수: 217</v>
      </c>
      <c r="T24" s="47" t="s">
        <v>139</v>
      </c>
      <c r="U24" s="73" t="str">
        <f>H19</f>
        <v>더불어민주당
이재영</v>
      </c>
      <c r="V24" s="73" t="str">
        <f>I19</f>
        <v>국민의힘
문석기</v>
      </c>
    </row>
    <row r="25" spans="1:24" ht="17.25" thickBot="1">
      <c r="A25" s="2" t="s">
        <v>0</v>
      </c>
      <c r="B25" s="2" t="s">
        <v>1</v>
      </c>
      <c r="C25" s="2" t="s">
        <v>83</v>
      </c>
      <c r="D25" s="2" t="s">
        <v>14</v>
      </c>
      <c r="E25" s="2" t="s">
        <v>12</v>
      </c>
      <c r="F25" s="7">
        <v>28130</v>
      </c>
      <c r="G25" s="7">
        <v>10873</v>
      </c>
      <c r="H25" s="7">
        <v>5325</v>
      </c>
      <c r="I25" s="7">
        <v>5419</v>
      </c>
      <c r="J25" s="8">
        <v>0</v>
      </c>
      <c r="K25" s="8">
        <v>0</v>
      </c>
      <c r="L25" s="8">
        <v>0</v>
      </c>
      <c r="M25" s="7">
        <v>10744</v>
      </c>
      <c r="N25" s="8">
        <v>129</v>
      </c>
      <c r="O25" s="7">
        <v>17257</v>
      </c>
      <c r="P25" s="17" t="str">
        <f>"투표율: "&amp;TEXT(((G23/F23)*100), "0.00")&amp;"%"</f>
        <v>투표율: 48.04%</v>
      </c>
      <c r="Q25" s="12" t="str">
        <f>"기권율: "&amp;TEXT(((O23/F23)*100), "0.00")&amp;"%"</f>
        <v>기권율: 51.96%</v>
      </c>
      <c r="R25" s="17" t="str">
        <f>"유효투표율: "&amp;TEXT(((M23/G23)*100), "0.00")&amp;"%"</f>
        <v>유효투표율: 98.64%</v>
      </c>
      <c r="S25" s="12" t="str">
        <f>"무효투표율: "&amp;TEXT(((N23/G23)*100), "0.00")&amp;"%"</f>
        <v>무효투표율: 1.36%</v>
      </c>
      <c r="T25" s="48"/>
      <c r="U25" s="25" t="str">
        <f>TEXT(H23,"#,##0")&amp;CHAR(10)&amp;"("&amp;TEXT((ROUND((H23/(SUM(H23:K23))*100),2)),"0.00")&amp;"%)"</f>
        <v>7,855
(49.84%)</v>
      </c>
      <c r="V25" s="25" t="str">
        <f>TEXT(I23,"#,##0")&amp;CHAR(10)&amp;"("&amp;TEXT((ROUND((I23/(SUM(H23:K23))*100),2)),"0.00")&amp;"%)"</f>
        <v>7,904
(50.16%)</v>
      </c>
      <c r="W25">
        <f>SUBSTITUTE(SUBSTITUTE(LEFT(U25,FIND("(",U25)-1),",",""),CHAR(10),"")+0</f>
        <v>7855</v>
      </c>
      <c r="X25">
        <f>SUBSTITUTE(SUBSTITUTE(LEFT(V25,FIND("(",V25)-1),",",""),CHAR(10),"")+0</f>
        <v>7904</v>
      </c>
    </row>
    <row r="26" spans="1:24" ht="17.25" thickBot="1">
      <c r="A26" s="2" t="s">
        <v>0</v>
      </c>
      <c r="B26" s="2" t="s">
        <v>1</v>
      </c>
      <c r="C26" s="2" t="s">
        <v>83</v>
      </c>
      <c r="D26" s="2" t="s">
        <v>16</v>
      </c>
      <c r="E26" s="2" t="s">
        <v>10</v>
      </c>
      <c r="F26" s="7">
        <v>65723</v>
      </c>
      <c r="G26" s="7">
        <v>35032</v>
      </c>
      <c r="H26" s="7">
        <v>18797</v>
      </c>
      <c r="I26" s="7">
        <v>15282</v>
      </c>
      <c r="J26" s="8">
        <v>0</v>
      </c>
      <c r="K26" s="8">
        <v>0</v>
      </c>
      <c r="L26" s="8">
        <v>0</v>
      </c>
      <c r="M26" s="7">
        <v>34079</v>
      </c>
      <c r="N26" s="8">
        <v>953</v>
      </c>
      <c r="O26" s="7">
        <v>30691</v>
      </c>
      <c r="P26" s="44" t="str">
        <f>D26</f>
        <v>상동</v>
      </c>
      <c r="Q26" s="53"/>
      <c r="R26" s="53"/>
      <c r="S26" s="54"/>
      <c r="T26" s="30" t="s">
        <v>138</v>
      </c>
      <c r="U26" s="49" t="s">
        <v>136</v>
      </c>
      <c r="V26" s="50"/>
    </row>
    <row r="27" spans="1:24" ht="17.25" thickBot="1">
      <c r="A27" s="2" t="s">
        <v>0</v>
      </c>
      <c r="B27" s="2" t="s">
        <v>1</v>
      </c>
      <c r="C27" s="2" t="s">
        <v>83</v>
      </c>
      <c r="D27" s="2" t="s">
        <v>16</v>
      </c>
      <c r="E27" s="2" t="s">
        <v>11</v>
      </c>
      <c r="F27" s="7">
        <v>12380</v>
      </c>
      <c r="G27" s="7">
        <v>12330</v>
      </c>
      <c r="H27" s="7">
        <v>6902</v>
      </c>
      <c r="I27" s="7">
        <v>5164</v>
      </c>
      <c r="J27" s="8">
        <v>0</v>
      </c>
      <c r="K27" s="8">
        <v>0</v>
      </c>
      <c r="L27" s="8">
        <v>0</v>
      </c>
      <c r="M27" s="7">
        <v>12066</v>
      </c>
      <c r="N27" s="8">
        <v>264</v>
      </c>
      <c r="O27" s="8">
        <v>50</v>
      </c>
      <c r="P27" s="40" t="str">
        <f>"투표수: "&amp;TEXT((SUM(H26:K26)+N26), "#,##0")</f>
        <v>투표수: 35,032</v>
      </c>
      <c r="Q27" s="42"/>
      <c r="R27" s="18" t="str">
        <f>"유효투표수: "&amp;TEXT(SUM(H26:K26),"#,##0")</f>
        <v>유효투표수: 34,079</v>
      </c>
      <c r="S27" s="16" t="str">
        <f>"무효투표수: "&amp;TEXT(N26, "#,##0")</f>
        <v>무효투표수: 953</v>
      </c>
      <c r="T27" s="47" t="s">
        <v>139</v>
      </c>
      <c r="U27" s="73" t="str">
        <f>U24</f>
        <v>더불어민주당
이재영</v>
      </c>
      <c r="V27" s="73" t="str">
        <f>V24</f>
        <v>국민의힘
문석기</v>
      </c>
    </row>
    <row r="28" spans="1:24" ht="17.25" thickBot="1">
      <c r="A28" s="2" t="s">
        <v>0</v>
      </c>
      <c r="B28" s="2" t="s">
        <v>1</v>
      </c>
      <c r="C28" s="2" t="s">
        <v>83</v>
      </c>
      <c r="D28" s="2" t="s">
        <v>16</v>
      </c>
      <c r="E28" s="2" t="s">
        <v>12</v>
      </c>
      <c r="F28" s="7">
        <v>53343</v>
      </c>
      <c r="G28" s="7">
        <v>22702</v>
      </c>
      <c r="H28" s="7">
        <v>11895</v>
      </c>
      <c r="I28" s="7">
        <v>10118</v>
      </c>
      <c r="J28" s="8">
        <v>0</v>
      </c>
      <c r="K28" s="8">
        <v>0</v>
      </c>
      <c r="L28" s="8">
        <v>0</v>
      </c>
      <c r="M28" s="7">
        <v>22013</v>
      </c>
      <c r="N28" s="8">
        <v>689</v>
      </c>
      <c r="O28" s="7">
        <v>30641</v>
      </c>
      <c r="P28" s="17" t="str">
        <f>"투표율: "&amp;TEXT(((G26/F26)*100), "0.00")&amp;"%"</f>
        <v>투표율: 53.30%</v>
      </c>
      <c r="Q28" s="12" t="str">
        <f>"기권율: "&amp;TEXT(((O26/F26)*100), "0.00")&amp;"%"</f>
        <v>기권율: 46.70%</v>
      </c>
      <c r="R28" s="17" t="str">
        <f>"유효투표율: "&amp;TEXT(((M26/G26)*100), "0.00")&amp;"%"</f>
        <v>유효투표율: 97.28%</v>
      </c>
      <c r="S28" s="12" t="str">
        <f>"무효투표율: "&amp;TEXT(((N26/G26)*100), "0.00")&amp;"%"</f>
        <v>무효투표율: 2.72%</v>
      </c>
      <c r="T28" s="48"/>
      <c r="U28" s="25" t="str">
        <f>TEXT(H26,"#,##0")&amp;CHAR(10)&amp;"("&amp;TEXT((ROUND((H26/(SUM(H26:K26))*100),2)),"0.00")&amp;"%)"</f>
        <v>18,797
(55.16%)</v>
      </c>
      <c r="V28" s="25" t="str">
        <f>TEXT(I26,"#,##0")&amp;CHAR(10)&amp;"("&amp;TEXT((ROUND((I26/(SUM(H26:K26))*100),2)),"0.00")&amp;"%)"</f>
        <v>15,282
(44.84%)</v>
      </c>
      <c r="W28">
        <f>SUBSTITUTE(SUBSTITUTE(LEFT(U28,FIND("(",U28)-1),",",""),CHAR(10),"")+0</f>
        <v>18797</v>
      </c>
      <c r="X28">
        <f>SUBSTITUTE(SUBSTITUTE(LEFT(V28,FIND("(",V28)-1),",",""),CHAR(10),"")+0</f>
        <v>15282</v>
      </c>
    </row>
    <row r="29" spans="1:24">
      <c r="A29" s="2" t="s">
        <v>0</v>
      </c>
      <c r="B29" s="2" t="s">
        <v>1</v>
      </c>
      <c r="C29" s="2" t="s">
        <v>83</v>
      </c>
      <c r="D29" s="2" t="s">
        <v>22</v>
      </c>
      <c r="E29" s="2" t="s">
        <v>2</v>
      </c>
      <c r="F29" s="8">
        <v>0</v>
      </c>
      <c r="G29" s="8">
        <v>106</v>
      </c>
      <c r="H29" s="8">
        <v>43</v>
      </c>
      <c r="I29" s="8">
        <v>44</v>
      </c>
      <c r="J29" s="8">
        <v>0</v>
      </c>
      <c r="K29" s="8">
        <v>0</v>
      </c>
      <c r="L29" s="8">
        <v>0</v>
      </c>
      <c r="M29" s="8">
        <v>87</v>
      </c>
      <c r="N29" s="8">
        <v>19</v>
      </c>
      <c r="O29" s="8">
        <v>-106</v>
      </c>
    </row>
    <row r="30" spans="1:24" ht="40.5">
      <c r="A30" s="2" t="s">
        <v>0</v>
      </c>
      <c r="B30" s="2" t="s">
        <v>1</v>
      </c>
      <c r="C30" s="2" t="s">
        <v>86</v>
      </c>
      <c r="D30" s="2" t="s">
        <v>2</v>
      </c>
      <c r="E30" s="2" t="s">
        <v>2</v>
      </c>
      <c r="F30" s="7" t="s">
        <v>2</v>
      </c>
      <c r="G30" s="7" t="s">
        <v>2</v>
      </c>
      <c r="H30" s="9" t="s">
        <v>87</v>
      </c>
      <c r="I30" s="9" t="s">
        <v>88</v>
      </c>
      <c r="J30" s="9" t="s">
        <v>5</v>
      </c>
      <c r="K30" s="9" t="s">
        <v>5</v>
      </c>
      <c r="L30" s="9" t="s">
        <v>5</v>
      </c>
      <c r="M30" s="7" t="s">
        <v>2</v>
      </c>
      <c r="N30" s="7" t="s">
        <v>2</v>
      </c>
      <c r="O30" s="7" t="s">
        <v>2</v>
      </c>
    </row>
    <row r="31" spans="1:24">
      <c r="A31" s="2" t="s">
        <v>0</v>
      </c>
      <c r="B31" s="2" t="s">
        <v>1</v>
      </c>
      <c r="C31" s="2" t="s">
        <v>86</v>
      </c>
      <c r="D31" s="2" t="s">
        <v>6</v>
      </c>
      <c r="E31" s="2" t="s">
        <v>2</v>
      </c>
      <c r="F31" s="7">
        <v>112051</v>
      </c>
      <c r="G31" s="7">
        <v>58835</v>
      </c>
      <c r="H31" s="7">
        <v>29868</v>
      </c>
      <c r="I31" s="7">
        <v>27457</v>
      </c>
      <c r="J31" s="8">
        <v>0</v>
      </c>
      <c r="K31" s="8">
        <v>0</v>
      </c>
      <c r="L31" s="8">
        <v>0</v>
      </c>
      <c r="M31" s="7">
        <v>57325</v>
      </c>
      <c r="N31" s="7">
        <v>1510</v>
      </c>
      <c r="O31" s="7">
        <v>53216</v>
      </c>
    </row>
    <row r="32" spans="1:24">
      <c r="A32" s="2" t="s">
        <v>0</v>
      </c>
      <c r="B32" s="2" t="s">
        <v>1</v>
      </c>
      <c r="C32" s="2" t="s">
        <v>86</v>
      </c>
      <c r="D32" s="2" t="s">
        <v>7</v>
      </c>
      <c r="E32" s="2" t="s">
        <v>2</v>
      </c>
      <c r="F32" s="8">
        <v>127</v>
      </c>
      <c r="G32" s="8">
        <v>121</v>
      </c>
      <c r="H32" s="8">
        <v>50</v>
      </c>
      <c r="I32" s="8">
        <v>54</v>
      </c>
      <c r="J32" s="8">
        <v>0</v>
      </c>
      <c r="K32" s="8">
        <v>0</v>
      </c>
      <c r="L32" s="8">
        <v>0</v>
      </c>
      <c r="M32" s="8">
        <v>104</v>
      </c>
      <c r="N32" s="8">
        <v>17</v>
      </c>
      <c r="O32" s="8">
        <v>6</v>
      </c>
    </row>
    <row r="33" spans="1:24" ht="17.25" thickBot="1">
      <c r="A33" s="2" t="s">
        <v>0</v>
      </c>
      <c r="B33" s="2" t="s">
        <v>1</v>
      </c>
      <c r="C33" s="2" t="s">
        <v>86</v>
      </c>
      <c r="D33" s="2" t="s">
        <v>8</v>
      </c>
      <c r="E33" s="2" t="s">
        <v>2</v>
      </c>
      <c r="F33" s="7">
        <v>7033</v>
      </c>
      <c r="G33" s="7">
        <v>7018</v>
      </c>
      <c r="H33" s="7">
        <v>3703</v>
      </c>
      <c r="I33" s="7">
        <v>3158</v>
      </c>
      <c r="J33" s="8">
        <v>0</v>
      </c>
      <c r="K33" s="8">
        <v>0</v>
      </c>
      <c r="L33" s="8">
        <v>0</v>
      </c>
      <c r="M33" s="7">
        <v>6861</v>
      </c>
      <c r="N33" s="8">
        <v>157</v>
      </c>
      <c r="O33" s="8">
        <v>15</v>
      </c>
    </row>
    <row r="34" spans="1:24" ht="17.25" thickBot="1">
      <c r="A34" s="2" t="s">
        <v>0</v>
      </c>
      <c r="B34" s="2" t="s">
        <v>1</v>
      </c>
      <c r="C34" s="2" t="s">
        <v>86</v>
      </c>
      <c r="D34" s="2" t="s">
        <v>15</v>
      </c>
      <c r="E34" s="2" t="s">
        <v>10</v>
      </c>
      <c r="F34" s="7">
        <v>104891</v>
      </c>
      <c r="G34" s="7">
        <v>51609</v>
      </c>
      <c r="H34" s="7">
        <v>26079</v>
      </c>
      <c r="I34" s="7">
        <v>24200</v>
      </c>
      <c r="J34" s="8">
        <v>0</v>
      </c>
      <c r="K34" s="8">
        <v>0</v>
      </c>
      <c r="L34" s="8">
        <v>0</v>
      </c>
      <c r="M34" s="7">
        <v>50279</v>
      </c>
      <c r="N34" s="7">
        <v>1330</v>
      </c>
      <c r="O34" s="7">
        <v>53282</v>
      </c>
      <c r="P34" s="44" t="str">
        <f>D34</f>
        <v>신중동</v>
      </c>
      <c r="Q34" s="53"/>
      <c r="R34" s="53"/>
      <c r="S34" s="54"/>
      <c r="T34" s="30" t="s">
        <v>138</v>
      </c>
      <c r="U34" s="49" t="s">
        <v>136</v>
      </c>
      <c r="V34" s="50"/>
    </row>
    <row r="35" spans="1:24" ht="17.25" thickBot="1">
      <c r="A35" s="2" t="s">
        <v>0</v>
      </c>
      <c r="B35" s="2" t="s">
        <v>1</v>
      </c>
      <c r="C35" s="2" t="s">
        <v>86</v>
      </c>
      <c r="D35" s="2" t="s">
        <v>15</v>
      </c>
      <c r="E35" s="2" t="s">
        <v>11</v>
      </c>
      <c r="F35" s="7">
        <v>14948</v>
      </c>
      <c r="G35" s="7">
        <v>14886</v>
      </c>
      <c r="H35" s="7">
        <v>7985</v>
      </c>
      <c r="I35" s="7">
        <v>6572</v>
      </c>
      <c r="J35" s="8">
        <v>0</v>
      </c>
      <c r="K35" s="8">
        <v>0</v>
      </c>
      <c r="L35" s="8">
        <v>0</v>
      </c>
      <c r="M35" s="7">
        <v>14557</v>
      </c>
      <c r="N35" s="8">
        <v>329</v>
      </c>
      <c r="O35" s="8">
        <v>62</v>
      </c>
      <c r="P35" s="40" t="str">
        <f>"투표수: "&amp;TEXT((SUM(H34:K34)+N34), "#,##0")</f>
        <v>투표수: 51,609</v>
      </c>
      <c r="Q35" s="42"/>
      <c r="R35" s="18" t="str">
        <f>"유효투표수: "&amp;TEXT(SUM(H34:K34),"#,##0")</f>
        <v>유효투표수: 50,279</v>
      </c>
      <c r="S35" s="16" t="str">
        <f>"무효투표수: "&amp;TEXT(N34, "#,##0")</f>
        <v>무효투표수: 1,330</v>
      </c>
      <c r="T35" s="47" t="s">
        <v>139</v>
      </c>
      <c r="U35" s="73" t="str">
        <f>H30</f>
        <v>더불어민주당
황진희</v>
      </c>
      <c r="V35" s="73" t="str">
        <f>I30</f>
        <v>국민의힘
이상윤</v>
      </c>
    </row>
    <row r="36" spans="1:24" ht="17.25" thickBot="1">
      <c r="A36" s="2" t="s">
        <v>0</v>
      </c>
      <c r="B36" s="2" t="s">
        <v>1</v>
      </c>
      <c r="C36" s="2" t="s">
        <v>86</v>
      </c>
      <c r="D36" s="2" t="s">
        <v>15</v>
      </c>
      <c r="E36" s="2" t="s">
        <v>12</v>
      </c>
      <c r="F36" s="7">
        <v>89943</v>
      </c>
      <c r="G36" s="7">
        <v>36723</v>
      </c>
      <c r="H36" s="7">
        <v>18094</v>
      </c>
      <c r="I36" s="7">
        <v>17628</v>
      </c>
      <c r="J36" s="8">
        <v>0</v>
      </c>
      <c r="K36" s="8">
        <v>0</v>
      </c>
      <c r="L36" s="8">
        <v>0</v>
      </c>
      <c r="M36" s="7">
        <v>35722</v>
      </c>
      <c r="N36" s="7">
        <v>1001</v>
      </c>
      <c r="O36" s="7">
        <v>53220</v>
      </c>
      <c r="P36" s="17" t="str">
        <f>"투표율: "&amp;TEXT(((G34/F34)*100), "0.00")&amp;"%"</f>
        <v>투표율: 49.20%</v>
      </c>
      <c r="Q36" s="12" t="str">
        <f>"기권율: "&amp;TEXT(((O34/F34)*100), "0.00")&amp;"%"</f>
        <v>기권율: 50.80%</v>
      </c>
      <c r="R36" s="17" t="str">
        <f>"유효투표율: "&amp;TEXT(((M34/G34)*100), "0.00")&amp;"%"</f>
        <v>유효투표율: 97.42%</v>
      </c>
      <c r="S36" s="12" t="str">
        <f>"무효투표율: "&amp;TEXT(((N34/G34)*100), "0.00")&amp;"%"</f>
        <v>무효투표율: 2.58%</v>
      </c>
      <c r="T36" s="48"/>
      <c r="U36" s="25" t="str">
        <f>TEXT(H34,"#,##0")&amp;CHAR(10)&amp;"("&amp;TEXT((ROUND((H34/(SUM(H34:K34))*100),2)),"0.00")&amp;"%)"</f>
        <v>26,079
(51.87%)</v>
      </c>
      <c r="V36" s="25" t="str">
        <f>TEXT(I34,"#,##0")&amp;CHAR(10)&amp;"("&amp;TEXT((ROUND((I34/(SUM(H34:K34))*100),2)),"0.00")&amp;"%)"</f>
        <v>24,200
(48.13%)</v>
      </c>
      <c r="W36">
        <f>SUBSTITUTE(SUBSTITUTE(LEFT(U36,FIND("(",U36)-1),",",""),CHAR(10),"")+0</f>
        <v>26079</v>
      </c>
      <c r="X36">
        <f>SUBSTITUTE(SUBSTITUTE(LEFT(V36,FIND("(",V36)-1),",",""),CHAR(10),"")+0</f>
        <v>24200</v>
      </c>
    </row>
    <row r="37" spans="1:24">
      <c r="A37" s="2" t="s">
        <v>0</v>
      </c>
      <c r="B37" s="2" t="s">
        <v>1</v>
      </c>
      <c r="C37" s="2" t="s">
        <v>86</v>
      </c>
      <c r="D37" s="2" t="s">
        <v>22</v>
      </c>
      <c r="E37" s="2" t="s">
        <v>2</v>
      </c>
      <c r="F37" s="8">
        <v>0</v>
      </c>
      <c r="G37" s="8">
        <v>87</v>
      </c>
      <c r="H37" s="8">
        <v>36</v>
      </c>
      <c r="I37" s="8">
        <v>45</v>
      </c>
      <c r="J37" s="8">
        <v>0</v>
      </c>
      <c r="K37" s="8">
        <v>0</v>
      </c>
      <c r="L37" s="8">
        <v>0</v>
      </c>
      <c r="M37" s="8">
        <v>81</v>
      </c>
      <c r="N37" s="8">
        <v>6</v>
      </c>
      <c r="O37" s="8">
        <v>-87</v>
      </c>
    </row>
    <row r="38" spans="1:24" ht="40.5">
      <c r="A38" s="2" t="s">
        <v>0</v>
      </c>
      <c r="B38" s="2" t="s">
        <v>1</v>
      </c>
      <c r="C38" s="2" t="s">
        <v>89</v>
      </c>
      <c r="D38" s="2" t="s">
        <v>2</v>
      </c>
      <c r="E38" s="2" t="s">
        <v>2</v>
      </c>
      <c r="F38" s="7" t="s">
        <v>2</v>
      </c>
      <c r="G38" s="7" t="s">
        <v>2</v>
      </c>
      <c r="H38" s="9" t="s">
        <v>90</v>
      </c>
      <c r="I38" s="9" t="s">
        <v>91</v>
      </c>
      <c r="J38" s="9" t="s">
        <v>5</v>
      </c>
      <c r="K38" s="9" t="s">
        <v>5</v>
      </c>
      <c r="L38" s="9" t="s">
        <v>5</v>
      </c>
      <c r="M38" s="7" t="s">
        <v>2</v>
      </c>
      <c r="N38" s="7" t="s">
        <v>2</v>
      </c>
      <c r="O38" s="7" t="s">
        <v>2</v>
      </c>
    </row>
    <row r="39" spans="1:24">
      <c r="A39" s="2" t="s">
        <v>0</v>
      </c>
      <c r="B39" s="2" t="s">
        <v>1</v>
      </c>
      <c r="C39" s="2" t="s">
        <v>89</v>
      </c>
      <c r="D39" s="2" t="s">
        <v>6</v>
      </c>
      <c r="E39" s="2" t="s">
        <v>2</v>
      </c>
      <c r="F39" s="7">
        <v>123064</v>
      </c>
      <c r="G39" s="7">
        <v>60940</v>
      </c>
      <c r="H39" s="7">
        <v>31413</v>
      </c>
      <c r="I39" s="7">
        <v>27869</v>
      </c>
      <c r="J39" s="8">
        <v>0</v>
      </c>
      <c r="K39" s="8">
        <v>0</v>
      </c>
      <c r="L39" s="8">
        <v>0</v>
      </c>
      <c r="M39" s="7">
        <v>59282</v>
      </c>
      <c r="N39" s="7">
        <v>1658</v>
      </c>
      <c r="O39" s="7">
        <v>62124</v>
      </c>
    </row>
    <row r="40" spans="1:24">
      <c r="A40" s="2" t="s">
        <v>0</v>
      </c>
      <c r="B40" s="2" t="s">
        <v>1</v>
      </c>
      <c r="C40" s="2" t="s">
        <v>89</v>
      </c>
      <c r="D40" s="2" t="s">
        <v>7</v>
      </c>
      <c r="E40" s="2" t="s">
        <v>2</v>
      </c>
      <c r="F40" s="8">
        <v>204</v>
      </c>
      <c r="G40" s="8">
        <v>188</v>
      </c>
      <c r="H40" s="8">
        <v>76</v>
      </c>
      <c r="I40" s="8">
        <v>48</v>
      </c>
      <c r="J40" s="8">
        <v>0</v>
      </c>
      <c r="K40" s="8">
        <v>0</v>
      </c>
      <c r="L40" s="8">
        <v>0</v>
      </c>
      <c r="M40" s="8">
        <v>124</v>
      </c>
      <c r="N40" s="8">
        <v>64</v>
      </c>
      <c r="O40" s="8">
        <v>16</v>
      </c>
    </row>
    <row r="41" spans="1:24" ht="17.25" thickBot="1">
      <c r="A41" s="2" t="s">
        <v>0</v>
      </c>
      <c r="B41" s="2" t="s">
        <v>1</v>
      </c>
      <c r="C41" s="2" t="s">
        <v>89</v>
      </c>
      <c r="D41" s="2" t="s">
        <v>8</v>
      </c>
      <c r="E41" s="2" t="s">
        <v>2</v>
      </c>
      <c r="F41" s="7">
        <v>6323</v>
      </c>
      <c r="G41" s="7">
        <v>6303</v>
      </c>
      <c r="H41" s="7">
        <v>3539</v>
      </c>
      <c r="I41" s="7">
        <v>2618</v>
      </c>
      <c r="J41" s="8">
        <v>0</v>
      </c>
      <c r="K41" s="8">
        <v>0</v>
      </c>
      <c r="L41" s="8">
        <v>0</v>
      </c>
      <c r="M41" s="7">
        <v>6157</v>
      </c>
      <c r="N41" s="8">
        <v>146</v>
      </c>
      <c r="O41" s="8">
        <v>20</v>
      </c>
    </row>
    <row r="42" spans="1:24" ht="17.25" thickBot="1">
      <c r="A42" s="2" t="s">
        <v>0</v>
      </c>
      <c r="B42" s="2" t="s">
        <v>1</v>
      </c>
      <c r="C42" s="2" t="s">
        <v>89</v>
      </c>
      <c r="D42" s="2" t="s">
        <v>17</v>
      </c>
      <c r="E42" s="2" t="s">
        <v>10</v>
      </c>
      <c r="F42" s="7">
        <v>69217</v>
      </c>
      <c r="G42" s="7">
        <v>31944</v>
      </c>
      <c r="H42" s="7">
        <v>16297</v>
      </c>
      <c r="I42" s="7">
        <v>14719</v>
      </c>
      <c r="J42" s="8">
        <v>0</v>
      </c>
      <c r="K42" s="8">
        <v>0</v>
      </c>
      <c r="L42" s="8">
        <v>0</v>
      </c>
      <c r="M42" s="7">
        <v>31016</v>
      </c>
      <c r="N42" s="8">
        <v>928</v>
      </c>
      <c r="O42" s="7">
        <v>37273</v>
      </c>
      <c r="P42" s="44" t="str">
        <f>D42</f>
        <v>대산동</v>
      </c>
      <c r="Q42" s="53"/>
      <c r="R42" s="53"/>
      <c r="S42" s="54"/>
      <c r="T42" s="30" t="s">
        <v>138</v>
      </c>
      <c r="U42" s="49" t="s">
        <v>136</v>
      </c>
      <c r="V42" s="50"/>
    </row>
    <row r="43" spans="1:24" ht="17.25" thickBot="1">
      <c r="A43" s="2" t="s">
        <v>0</v>
      </c>
      <c r="B43" s="2" t="s">
        <v>1</v>
      </c>
      <c r="C43" s="2" t="s">
        <v>89</v>
      </c>
      <c r="D43" s="2" t="s">
        <v>17</v>
      </c>
      <c r="E43" s="2" t="s">
        <v>11</v>
      </c>
      <c r="F43" s="7">
        <v>10727</v>
      </c>
      <c r="G43" s="7">
        <v>10688</v>
      </c>
      <c r="H43" s="7">
        <v>5636</v>
      </c>
      <c r="I43" s="7">
        <v>4842</v>
      </c>
      <c r="J43" s="8">
        <v>0</v>
      </c>
      <c r="K43" s="8">
        <v>0</v>
      </c>
      <c r="L43" s="8">
        <v>0</v>
      </c>
      <c r="M43" s="7">
        <v>10478</v>
      </c>
      <c r="N43" s="8">
        <v>210</v>
      </c>
      <c r="O43" s="8">
        <v>39</v>
      </c>
      <c r="P43" s="40" t="str">
        <f>"투표수: "&amp;TEXT((SUM(H42:K42)+N42), "#,##0")</f>
        <v>투표수: 31,944</v>
      </c>
      <c r="Q43" s="42"/>
      <c r="R43" s="18" t="str">
        <f>"유효투표수: "&amp;TEXT(SUM(H42:K42),"#,##0")</f>
        <v>유효투표수: 31,016</v>
      </c>
      <c r="S43" s="16" t="str">
        <f>"무효투표수: "&amp;TEXT(N42, "#,##0")</f>
        <v>무효투표수: 928</v>
      </c>
      <c r="T43" s="47" t="s">
        <v>140</v>
      </c>
      <c r="U43" s="73" t="str">
        <f>H38</f>
        <v>더불어민주당
김광민</v>
      </c>
      <c r="V43" s="73" t="str">
        <f>I38</f>
        <v>국민의힘
황계호</v>
      </c>
    </row>
    <row r="44" spans="1:24" ht="17.25" thickBot="1">
      <c r="A44" s="2" t="s">
        <v>0</v>
      </c>
      <c r="B44" s="2" t="s">
        <v>1</v>
      </c>
      <c r="C44" s="2" t="s">
        <v>89</v>
      </c>
      <c r="D44" s="2" t="s">
        <v>17</v>
      </c>
      <c r="E44" s="2" t="s">
        <v>12</v>
      </c>
      <c r="F44" s="7">
        <v>58490</v>
      </c>
      <c r="G44" s="7">
        <v>21256</v>
      </c>
      <c r="H44" s="7">
        <v>10661</v>
      </c>
      <c r="I44" s="7">
        <v>9877</v>
      </c>
      <c r="J44" s="8">
        <v>0</v>
      </c>
      <c r="K44" s="8">
        <v>0</v>
      </c>
      <c r="L44" s="8">
        <v>0</v>
      </c>
      <c r="M44" s="7">
        <v>20538</v>
      </c>
      <c r="N44" s="8">
        <v>718</v>
      </c>
      <c r="O44" s="7">
        <v>37234</v>
      </c>
      <c r="P44" s="17" t="str">
        <f>"투표율: "&amp;TEXT(((G42/F42)*100), "0.00")&amp;"%"</f>
        <v>투표율: 46.15%</v>
      </c>
      <c r="Q44" s="12" t="str">
        <f>"기권율: "&amp;TEXT(((O42/F42)*100), "0.00")&amp;"%"</f>
        <v>기권율: 53.85%</v>
      </c>
      <c r="R44" s="17" t="str">
        <f>"유효투표율: "&amp;TEXT(((M42/G42)*100), "0.00")&amp;"%"</f>
        <v>유효투표율: 97.09%</v>
      </c>
      <c r="S44" s="12" t="str">
        <f>"무효투표율: "&amp;TEXT(((N42/G42)*100), "0.00")&amp;"%"</f>
        <v>무효투표율: 2.91%</v>
      </c>
      <c r="T44" s="48"/>
      <c r="U44" s="25" t="str">
        <f>TEXT(H42,"#,##0")&amp;CHAR(10)&amp;"("&amp;TEXT((ROUND((H42/(SUM(H42:K42))*100),2)),"0.00")&amp;"%)"</f>
        <v>16,297
(52.54%)</v>
      </c>
      <c r="V44" s="25" t="str">
        <f>TEXT(I42,"#,##0")&amp;CHAR(10)&amp;"("&amp;TEXT((ROUND((I42/(SUM(H42:K42))*100),2)),"0.00")&amp;"%)"</f>
        <v>14,719
(47.46%)</v>
      </c>
      <c r="W44">
        <f>SUBSTITUTE(SUBSTITUTE(LEFT(U44,FIND("(",U44)-1),",",""),CHAR(10),"")+0</f>
        <v>16297</v>
      </c>
      <c r="X44">
        <f>SUBSTITUTE(SUBSTITUTE(LEFT(V44,FIND("(",V44)-1),",",""),CHAR(10),"")+0</f>
        <v>14719</v>
      </c>
    </row>
    <row r="45" spans="1:24" ht="17.25" thickBot="1">
      <c r="A45" s="2" t="s">
        <v>0</v>
      </c>
      <c r="B45" s="2" t="s">
        <v>1</v>
      </c>
      <c r="C45" s="2" t="s">
        <v>89</v>
      </c>
      <c r="D45" s="2" t="s">
        <v>18</v>
      </c>
      <c r="E45" s="2" t="s">
        <v>10</v>
      </c>
      <c r="F45" s="7">
        <v>47320</v>
      </c>
      <c r="G45" s="7">
        <v>22413</v>
      </c>
      <c r="H45" s="7">
        <v>11455</v>
      </c>
      <c r="I45" s="7">
        <v>10447</v>
      </c>
      <c r="J45" s="8">
        <v>0</v>
      </c>
      <c r="K45" s="8">
        <v>0</v>
      </c>
      <c r="L45" s="8">
        <v>0</v>
      </c>
      <c r="M45" s="7">
        <v>21902</v>
      </c>
      <c r="N45" s="8">
        <v>511</v>
      </c>
      <c r="O45" s="7">
        <v>24907</v>
      </c>
      <c r="P45" s="44" t="str">
        <f>D45</f>
        <v>소사본동</v>
      </c>
      <c r="Q45" s="53"/>
      <c r="R45" s="53"/>
      <c r="S45" s="54"/>
      <c r="T45" s="30" t="s">
        <v>138</v>
      </c>
      <c r="U45" s="49" t="s">
        <v>136</v>
      </c>
      <c r="V45" s="50"/>
    </row>
    <row r="46" spans="1:24" ht="17.25" thickBot="1">
      <c r="A46" s="2" t="s">
        <v>0</v>
      </c>
      <c r="B46" s="2" t="s">
        <v>1</v>
      </c>
      <c r="C46" s="2" t="s">
        <v>89</v>
      </c>
      <c r="D46" s="2" t="s">
        <v>18</v>
      </c>
      <c r="E46" s="2" t="s">
        <v>11</v>
      </c>
      <c r="F46" s="7">
        <v>7201</v>
      </c>
      <c r="G46" s="7">
        <v>7184</v>
      </c>
      <c r="H46" s="7">
        <v>3691</v>
      </c>
      <c r="I46" s="7">
        <v>3288</v>
      </c>
      <c r="J46" s="8">
        <v>0</v>
      </c>
      <c r="K46" s="8">
        <v>0</v>
      </c>
      <c r="L46" s="8">
        <v>0</v>
      </c>
      <c r="M46" s="7">
        <v>6979</v>
      </c>
      <c r="N46" s="8">
        <v>205</v>
      </c>
      <c r="O46" s="8">
        <v>17</v>
      </c>
      <c r="P46" s="40" t="str">
        <f>"투표수: "&amp;TEXT((SUM(H45:K45)+N45), "#,##0")</f>
        <v>투표수: 22,413</v>
      </c>
      <c r="Q46" s="42"/>
      <c r="R46" s="18" t="str">
        <f>"유효투표수: "&amp;TEXT(SUM(H45:K45),"#,##0")</f>
        <v>유효투표수: 21,902</v>
      </c>
      <c r="S46" s="16" t="str">
        <f>"무효투표수: "&amp;TEXT(N45, "#,##0")</f>
        <v>무효투표수: 511</v>
      </c>
      <c r="T46" s="47" t="s">
        <v>140</v>
      </c>
      <c r="U46" s="73" t="str">
        <f>U43</f>
        <v>더불어민주당
김광민</v>
      </c>
      <c r="V46" s="73" t="str">
        <f>V43</f>
        <v>국민의힘
황계호</v>
      </c>
    </row>
    <row r="47" spans="1:24" ht="17.25" thickBot="1">
      <c r="A47" s="2" t="s">
        <v>0</v>
      </c>
      <c r="B47" s="2" t="s">
        <v>1</v>
      </c>
      <c r="C47" s="2" t="s">
        <v>89</v>
      </c>
      <c r="D47" s="2" t="s">
        <v>18</v>
      </c>
      <c r="E47" s="2" t="s">
        <v>12</v>
      </c>
      <c r="F47" s="7">
        <v>40119</v>
      </c>
      <c r="G47" s="7">
        <v>15229</v>
      </c>
      <c r="H47" s="7">
        <v>7764</v>
      </c>
      <c r="I47" s="7">
        <v>7159</v>
      </c>
      <c r="J47" s="8">
        <v>0</v>
      </c>
      <c r="K47" s="8">
        <v>0</v>
      </c>
      <c r="L47" s="8">
        <v>0</v>
      </c>
      <c r="M47" s="7">
        <v>14923</v>
      </c>
      <c r="N47" s="8">
        <v>306</v>
      </c>
      <c r="O47" s="7">
        <v>24890</v>
      </c>
      <c r="P47" s="17" t="str">
        <f>"투표율: "&amp;TEXT(((G45/F45)*100), "0.00")&amp;"%"</f>
        <v>투표율: 47.36%</v>
      </c>
      <c r="Q47" s="12" t="str">
        <f>"기권율: "&amp;TEXT(((O45/F45)*100), "0.00")&amp;"%"</f>
        <v>기권율: 52.64%</v>
      </c>
      <c r="R47" s="17" t="str">
        <f>"유효투표율: "&amp;TEXT(((M45/G45)*100), "0.00")&amp;"%"</f>
        <v>유효투표율: 97.72%</v>
      </c>
      <c r="S47" s="12" t="str">
        <f>"무효투표율: "&amp;TEXT(((N45/G45)*100), "0.00")&amp;"%"</f>
        <v>무효투표율: 2.28%</v>
      </c>
      <c r="T47" s="48"/>
      <c r="U47" s="25" t="str">
        <f>TEXT(H45,"#,##0")&amp;CHAR(10)&amp;"("&amp;TEXT((ROUND((H45/(SUM(H45:K45))*100),2)),"0.00")&amp;"%)"</f>
        <v>11,455
(52.30%)</v>
      </c>
      <c r="V47" s="25" t="str">
        <f>TEXT(I45,"#,##0")&amp;CHAR(10)&amp;"("&amp;TEXT((ROUND((I45/(SUM(H45:K45))*100),2)),"0.00")&amp;"%)"</f>
        <v>10,447
(47.70%)</v>
      </c>
      <c r="W47">
        <f>SUBSTITUTE(SUBSTITUTE(LEFT(U47,FIND("(",U47)-1),",",""),CHAR(10),"")+0</f>
        <v>11455</v>
      </c>
      <c r="X47">
        <f>SUBSTITUTE(SUBSTITUTE(LEFT(V47,FIND("(",V47)-1),",",""),CHAR(10),"")+0</f>
        <v>10447</v>
      </c>
    </row>
    <row r="48" spans="1:24">
      <c r="A48" s="2" t="s">
        <v>0</v>
      </c>
      <c r="B48" s="2" t="s">
        <v>1</v>
      </c>
      <c r="C48" s="2" t="s">
        <v>89</v>
      </c>
      <c r="D48" s="2" t="s">
        <v>22</v>
      </c>
      <c r="E48" s="2" t="s">
        <v>2</v>
      </c>
      <c r="F48" s="8">
        <v>0</v>
      </c>
      <c r="G48" s="8">
        <v>92</v>
      </c>
      <c r="H48" s="8">
        <v>46</v>
      </c>
      <c r="I48" s="8">
        <v>37</v>
      </c>
      <c r="J48" s="8">
        <v>0</v>
      </c>
      <c r="K48" s="8">
        <v>0</v>
      </c>
      <c r="L48" s="8">
        <v>0</v>
      </c>
      <c r="M48" s="8">
        <v>83</v>
      </c>
      <c r="N48" s="8">
        <v>9</v>
      </c>
      <c r="O48" s="8">
        <v>-92</v>
      </c>
    </row>
    <row r="49" spans="1:24" ht="40.5">
      <c r="A49" s="2" t="s">
        <v>0</v>
      </c>
      <c r="B49" s="2" t="s">
        <v>1</v>
      </c>
      <c r="C49" s="2" t="s">
        <v>92</v>
      </c>
      <c r="D49" s="2" t="s">
        <v>2</v>
      </c>
      <c r="E49" s="2" t="s">
        <v>2</v>
      </c>
      <c r="F49" s="7" t="s">
        <v>2</v>
      </c>
      <c r="G49" s="7" t="s">
        <v>2</v>
      </c>
      <c r="H49" s="9" t="s">
        <v>93</v>
      </c>
      <c r="I49" s="9" t="s">
        <v>94</v>
      </c>
      <c r="J49" s="9" t="s">
        <v>5</v>
      </c>
      <c r="K49" s="9" t="s">
        <v>5</v>
      </c>
      <c r="L49" s="9" t="s">
        <v>5</v>
      </c>
      <c r="M49" s="7" t="s">
        <v>2</v>
      </c>
      <c r="N49" s="7" t="s">
        <v>2</v>
      </c>
      <c r="O49" s="7" t="s">
        <v>2</v>
      </c>
    </row>
    <row r="50" spans="1:24">
      <c r="A50" s="2" t="s">
        <v>0</v>
      </c>
      <c r="B50" s="2" t="s">
        <v>1</v>
      </c>
      <c r="C50" s="2" t="s">
        <v>92</v>
      </c>
      <c r="D50" s="2" t="s">
        <v>6</v>
      </c>
      <c r="E50" s="2" t="s">
        <v>2</v>
      </c>
      <c r="F50" s="7">
        <v>78062</v>
      </c>
      <c r="G50" s="7">
        <v>41788</v>
      </c>
      <c r="H50" s="7">
        <v>22986</v>
      </c>
      <c r="I50" s="7">
        <v>18035</v>
      </c>
      <c r="J50" s="8">
        <v>0</v>
      </c>
      <c r="K50" s="8">
        <v>0</v>
      </c>
      <c r="L50" s="8">
        <v>0</v>
      </c>
      <c r="M50" s="7">
        <v>41021</v>
      </c>
      <c r="N50" s="8">
        <v>767</v>
      </c>
      <c r="O50" s="7">
        <v>36274</v>
      </c>
    </row>
    <row r="51" spans="1:24">
      <c r="A51" s="2" t="s">
        <v>0</v>
      </c>
      <c r="B51" s="2" t="s">
        <v>1</v>
      </c>
      <c r="C51" s="2" t="s">
        <v>92</v>
      </c>
      <c r="D51" s="2" t="s">
        <v>7</v>
      </c>
      <c r="E51" s="2" t="s">
        <v>2</v>
      </c>
      <c r="F51" s="8">
        <v>106</v>
      </c>
      <c r="G51" s="8">
        <v>100</v>
      </c>
      <c r="H51" s="8">
        <v>48</v>
      </c>
      <c r="I51" s="8">
        <v>41</v>
      </c>
      <c r="J51" s="8">
        <v>0</v>
      </c>
      <c r="K51" s="8">
        <v>0</v>
      </c>
      <c r="L51" s="8">
        <v>0</v>
      </c>
      <c r="M51" s="8">
        <v>89</v>
      </c>
      <c r="N51" s="8">
        <v>11</v>
      </c>
      <c r="O51" s="8">
        <v>6</v>
      </c>
    </row>
    <row r="52" spans="1:24" ht="17.25" thickBot="1">
      <c r="A52" s="2" t="s">
        <v>0</v>
      </c>
      <c r="B52" s="2" t="s">
        <v>1</v>
      </c>
      <c r="C52" s="2" t="s">
        <v>92</v>
      </c>
      <c r="D52" s="2" t="s">
        <v>8</v>
      </c>
      <c r="E52" s="2" t="s">
        <v>2</v>
      </c>
      <c r="F52" s="7">
        <v>4258</v>
      </c>
      <c r="G52" s="7">
        <v>4249</v>
      </c>
      <c r="H52" s="7">
        <v>2519</v>
      </c>
      <c r="I52" s="7">
        <v>1620</v>
      </c>
      <c r="J52" s="8">
        <v>0</v>
      </c>
      <c r="K52" s="8">
        <v>0</v>
      </c>
      <c r="L52" s="8">
        <v>0</v>
      </c>
      <c r="M52" s="7">
        <v>4139</v>
      </c>
      <c r="N52" s="8">
        <v>110</v>
      </c>
      <c r="O52" s="8">
        <v>9</v>
      </c>
    </row>
    <row r="53" spans="1:24" ht="17.25" thickBot="1">
      <c r="A53" s="2" t="s">
        <v>0</v>
      </c>
      <c r="B53" s="2" t="s">
        <v>1</v>
      </c>
      <c r="C53" s="2" t="s">
        <v>92</v>
      </c>
      <c r="D53" s="2" t="s">
        <v>19</v>
      </c>
      <c r="E53" s="2" t="s">
        <v>10</v>
      </c>
      <c r="F53" s="7">
        <v>73698</v>
      </c>
      <c r="G53" s="7">
        <v>37402</v>
      </c>
      <c r="H53" s="7">
        <v>20403</v>
      </c>
      <c r="I53" s="7">
        <v>16355</v>
      </c>
      <c r="J53" s="8">
        <v>0</v>
      </c>
      <c r="K53" s="8">
        <v>0</v>
      </c>
      <c r="L53" s="8">
        <v>0</v>
      </c>
      <c r="M53" s="7">
        <v>36758</v>
      </c>
      <c r="N53" s="8">
        <v>644</v>
      </c>
      <c r="O53" s="7">
        <v>36296</v>
      </c>
      <c r="P53" s="44" t="str">
        <f>D53</f>
        <v>범안동</v>
      </c>
      <c r="Q53" s="53"/>
      <c r="R53" s="53"/>
      <c r="S53" s="54"/>
      <c r="T53" s="30" t="s">
        <v>138</v>
      </c>
      <c r="U53" s="49" t="s">
        <v>136</v>
      </c>
      <c r="V53" s="50"/>
    </row>
    <row r="54" spans="1:24" ht="17.25" thickBot="1">
      <c r="A54" s="2" t="s">
        <v>0</v>
      </c>
      <c r="B54" s="2" t="s">
        <v>1</v>
      </c>
      <c r="C54" s="2" t="s">
        <v>92</v>
      </c>
      <c r="D54" s="2" t="s">
        <v>19</v>
      </c>
      <c r="E54" s="2" t="s">
        <v>11</v>
      </c>
      <c r="F54" s="7">
        <v>10306</v>
      </c>
      <c r="G54" s="7">
        <v>10288</v>
      </c>
      <c r="H54" s="7">
        <v>5702</v>
      </c>
      <c r="I54" s="7">
        <v>4380</v>
      </c>
      <c r="J54" s="8">
        <v>0</v>
      </c>
      <c r="K54" s="8">
        <v>0</v>
      </c>
      <c r="L54" s="8">
        <v>0</v>
      </c>
      <c r="M54" s="7">
        <v>10082</v>
      </c>
      <c r="N54" s="8">
        <v>206</v>
      </c>
      <c r="O54" s="8">
        <v>18</v>
      </c>
      <c r="P54" s="40" t="str">
        <f>"투표수: "&amp;TEXT((SUM(H53:K53)+N53), "#,##0")</f>
        <v>투표수: 37,402</v>
      </c>
      <c r="Q54" s="42"/>
      <c r="R54" s="18" t="str">
        <f>"유효투표수: "&amp;TEXT(SUM(H53:K53),"#,##0")</f>
        <v>유효투표수: 36,758</v>
      </c>
      <c r="S54" s="16" t="str">
        <f>"무효투표수: "&amp;TEXT(N53, "#,##0")</f>
        <v>무효투표수: 644</v>
      </c>
      <c r="T54" s="47" t="s">
        <v>140</v>
      </c>
      <c r="U54" s="73" t="str">
        <f>H49</f>
        <v>더불어민주당
김동희</v>
      </c>
      <c r="V54" s="73" t="str">
        <f>I49</f>
        <v>국민의힘
전용한</v>
      </c>
    </row>
    <row r="55" spans="1:24" ht="17.25" thickBot="1">
      <c r="A55" s="2" t="s">
        <v>0</v>
      </c>
      <c r="B55" s="2" t="s">
        <v>1</v>
      </c>
      <c r="C55" s="2" t="s">
        <v>92</v>
      </c>
      <c r="D55" s="2" t="s">
        <v>19</v>
      </c>
      <c r="E55" s="2" t="s">
        <v>12</v>
      </c>
      <c r="F55" s="7">
        <v>63392</v>
      </c>
      <c r="G55" s="7">
        <v>27114</v>
      </c>
      <c r="H55" s="7">
        <v>14701</v>
      </c>
      <c r="I55" s="7">
        <v>11975</v>
      </c>
      <c r="J55" s="8">
        <v>0</v>
      </c>
      <c r="K55" s="8">
        <v>0</v>
      </c>
      <c r="L55" s="8">
        <v>0</v>
      </c>
      <c r="M55" s="7">
        <v>26676</v>
      </c>
      <c r="N55" s="8">
        <v>438</v>
      </c>
      <c r="O55" s="7">
        <v>36278</v>
      </c>
      <c r="P55" s="17" t="str">
        <f>"투표율: "&amp;TEXT(((G53/F53)*100), "0.00")&amp;"%"</f>
        <v>투표율: 50.75%</v>
      </c>
      <c r="Q55" s="12" t="str">
        <f>"기권율: "&amp;TEXT(((O53/F53)*100), "0.00")&amp;"%"</f>
        <v>기권율: 49.25%</v>
      </c>
      <c r="R55" s="17" t="str">
        <f>"유효투표율: "&amp;TEXT(((M53/G53)*100), "0.00")&amp;"%"</f>
        <v>유효투표율: 98.28%</v>
      </c>
      <c r="S55" s="12" t="str">
        <f>"무효투표율: "&amp;TEXT(((N53/G53)*100), "0.00")&amp;"%"</f>
        <v>무효투표율: 1.72%</v>
      </c>
      <c r="T55" s="48"/>
      <c r="U55" s="25" t="str">
        <f>TEXT(H53,"#,##0")&amp;CHAR(10)&amp;"("&amp;TEXT((ROUND((H53/(SUM(H53:K53))*100),2)),"0.00")&amp;"%)"</f>
        <v>20,403
(55.51%)</v>
      </c>
      <c r="V55" s="25" t="str">
        <f>TEXT(I53,"#,##0")&amp;CHAR(10)&amp;"("&amp;TEXT((ROUND((I53/(SUM(H53:K53))*100),2)),"0.00")&amp;"%)"</f>
        <v>16,355
(44.49%)</v>
      </c>
      <c r="W55">
        <f>SUBSTITUTE(SUBSTITUTE(LEFT(U55,FIND("(",U55)-1),",",""),CHAR(10),"")+0</f>
        <v>20403</v>
      </c>
      <c r="X55">
        <f>SUBSTITUTE(SUBSTITUTE(LEFT(V55,FIND("(",V55)-1),",",""),CHAR(10),"")+0</f>
        <v>16355</v>
      </c>
    </row>
    <row r="56" spans="1:24">
      <c r="A56" s="2" t="s">
        <v>0</v>
      </c>
      <c r="B56" s="2" t="s">
        <v>1</v>
      </c>
      <c r="C56" s="2" t="s">
        <v>92</v>
      </c>
      <c r="D56" s="2" t="s">
        <v>22</v>
      </c>
      <c r="E56" s="2" t="s">
        <v>2</v>
      </c>
      <c r="F56" s="8">
        <v>0</v>
      </c>
      <c r="G56" s="8">
        <v>37</v>
      </c>
      <c r="H56" s="8">
        <v>16</v>
      </c>
      <c r="I56" s="8">
        <v>19</v>
      </c>
      <c r="J56" s="8">
        <v>0</v>
      </c>
      <c r="K56" s="8">
        <v>0</v>
      </c>
      <c r="L56" s="8">
        <v>0</v>
      </c>
      <c r="M56" s="8">
        <v>35</v>
      </c>
      <c r="N56" s="8">
        <v>2</v>
      </c>
      <c r="O56" s="8">
        <v>-37</v>
      </c>
    </row>
    <row r="57" spans="1:24" ht="40.5">
      <c r="A57" s="2" t="s">
        <v>0</v>
      </c>
      <c r="B57" s="2" t="s">
        <v>1</v>
      </c>
      <c r="C57" s="2" t="s">
        <v>95</v>
      </c>
      <c r="D57" s="2" t="s">
        <v>2</v>
      </c>
      <c r="E57" s="2" t="s">
        <v>2</v>
      </c>
      <c r="F57" s="7" t="s">
        <v>2</v>
      </c>
      <c r="G57" s="7" t="s">
        <v>2</v>
      </c>
      <c r="H57" s="9" t="s">
        <v>96</v>
      </c>
      <c r="I57" s="9" t="s">
        <v>97</v>
      </c>
      <c r="J57" s="9" t="s">
        <v>5</v>
      </c>
      <c r="K57" s="9" t="s">
        <v>5</v>
      </c>
      <c r="L57" s="9" t="s">
        <v>5</v>
      </c>
      <c r="M57" s="7" t="s">
        <v>2</v>
      </c>
      <c r="N57" s="7" t="s">
        <v>2</v>
      </c>
      <c r="O57" s="7" t="s">
        <v>2</v>
      </c>
    </row>
    <row r="58" spans="1:24">
      <c r="A58" s="2" t="s">
        <v>0</v>
      </c>
      <c r="B58" s="2" t="s">
        <v>1</v>
      </c>
      <c r="C58" s="2" t="s">
        <v>95</v>
      </c>
      <c r="D58" s="2" t="s">
        <v>6</v>
      </c>
      <c r="E58" s="2" t="s">
        <v>2</v>
      </c>
      <c r="F58" s="7">
        <v>73228</v>
      </c>
      <c r="G58" s="7">
        <v>33321</v>
      </c>
      <c r="H58" s="7">
        <v>17651</v>
      </c>
      <c r="I58" s="7">
        <v>14533</v>
      </c>
      <c r="J58" s="8">
        <v>0</v>
      </c>
      <c r="K58" s="8">
        <v>0</v>
      </c>
      <c r="L58" s="8">
        <v>0</v>
      </c>
      <c r="M58" s="7">
        <v>32184</v>
      </c>
      <c r="N58" s="7">
        <v>1137</v>
      </c>
      <c r="O58" s="7">
        <v>39907</v>
      </c>
    </row>
    <row r="59" spans="1:24">
      <c r="A59" s="2" t="s">
        <v>0</v>
      </c>
      <c r="B59" s="2" t="s">
        <v>1</v>
      </c>
      <c r="C59" s="2" t="s">
        <v>95</v>
      </c>
      <c r="D59" s="2" t="s">
        <v>7</v>
      </c>
      <c r="E59" s="2" t="s">
        <v>2</v>
      </c>
      <c r="F59" s="8">
        <v>78</v>
      </c>
      <c r="G59" s="8">
        <v>73</v>
      </c>
      <c r="H59" s="8">
        <v>35</v>
      </c>
      <c r="I59" s="8">
        <v>27</v>
      </c>
      <c r="J59" s="8">
        <v>0</v>
      </c>
      <c r="K59" s="8">
        <v>0</v>
      </c>
      <c r="L59" s="8">
        <v>0</v>
      </c>
      <c r="M59" s="8">
        <v>62</v>
      </c>
      <c r="N59" s="8">
        <v>11</v>
      </c>
      <c r="O59" s="8">
        <v>5</v>
      </c>
    </row>
    <row r="60" spans="1:24" ht="17.25" thickBot="1">
      <c r="A60" s="2" t="s">
        <v>0</v>
      </c>
      <c r="B60" s="2" t="s">
        <v>1</v>
      </c>
      <c r="C60" s="2" t="s">
        <v>95</v>
      </c>
      <c r="D60" s="2" t="s">
        <v>8</v>
      </c>
      <c r="E60" s="2" t="s">
        <v>2</v>
      </c>
      <c r="F60" s="7">
        <v>3425</v>
      </c>
      <c r="G60" s="7">
        <v>3418</v>
      </c>
      <c r="H60" s="7">
        <v>1945</v>
      </c>
      <c r="I60" s="7">
        <v>1376</v>
      </c>
      <c r="J60" s="8">
        <v>0</v>
      </c>
      <c r="K60" s="8">
        <v>0</v>
      </c>
      <c r="L60" s="8">
        <v>0</v>
      </c>
      <c r="M60" s="7">
        <v>3321</v>
      </c>
      <c r="N60" s="8">
        <v>97</v>
      </c>
      <c r="O60" s="8">
        <v>7</v>
      </c>
    </row>
    <row r="61" spans="1:24" ht="17.25" thickBot="1">
      <c r="A61" s="2" t="s">
        <v>0</v>
      </c>
      <c r="B61" s="2" t="s">
        <v>1</v>
      </c>
      <c r="C61" s="2" t="s">
        <v>95</v>
      </c>
      <c r="D61" s="2" t="s">
        <v>20</v>
      </c>
      <c r="E61" s="2" t="s">
        <v>10</v>
      </c>
      <c r="F61" s="7">
        <v>69725</v>
      </c>
      <c r="G61" s="7">
        <v>29784</v>
      </c>
      <c r="H61" s="7">
        <v>15651</v>
      </c>
      <c r="I61" s="7">
        <v>13111</v>
      </c>
      <c r="J61" s="8">
        <v>0</v>
      </c>
      <c r="K61" s="8">
        <v>0</v>
      </c>
      <c r="L61" s="8">
        <v>0</v>
      </c>
      <c r="M61" s="7">
        <v>28762</v>
      </c>
      <c r="N61" s="7">
        <v>1022</v>
      </c>
      <c r="O61" s="7">
        <v>39941</v>
      </c>
      <c r="P61" s="44" t="str">
        <f>D61</f>
        <v>성곡동</v>
      </c>
      <c r="Q61" s="53"/>
      <c r="R61" s="53"/>
      <c r="S61" s="54"/>
      <c r="T61" s="30" t="s">
        <v>138</v>
      </c>
      <c r="U61" s="49" t="s">
        <v>136</v>
      </c>
      <c r="V61" s="50"/>
    </row>
    <row r="62" spans="1:24" ht="17.25" thickBot="1">
      <c r="A62" s="2" t="s">
        <v>0</v>
      </c>
      <c r="B62" s="2" t="s">
        <v>1</v>
      </c>
      <c r="C62" s="2" t="s">
        <v>95</v>
      </c>
      <c r="D62" s="2" t="s">
        <v>20</v>
      </c>
      <c r="E62" s="2" t="s">
        <v>11</v>
      </c>
      <c r="F62" s="7">
        <v>9420</v>
      </c>
      <c r="G62" s="7">
        <v>9395</v>
      </c>
      <c r="H62" s="7">
        <v>5115</v>
      </c>
      <c r="I62" s="7">
        <v>3981</v>
      </c>
      <c r="J62" s="8">
        <v>0</v>
      </c>
      <c r="K62" s="8">
        <v>0</v>
      </c>
      <c r="L62" s="8">
        <v>0</v>
      </c>
      <c r="M62" s="7">
        <v>9096</v>
      </c>
      <c r="N62" s="8">
        <v>299</v>
      </c>
      <c r="O62" s="8">
        <v>25</v>
      </c>
      <c r="P62" s="40" t="str">
        <f>"투표수: "&amp;TEXT((SUM(H61:K61)+N61), "#,##0")</f>
        <v>투표수: 29,784</v>
      </c>
      <c r="Q62" s="42"/>
      <c r="R62" s="18" t="str">
        <f>"유효투표수: "&amp;TEXT(SUM(H61:K61),"#,##0")</f>
        <v>유효투표수: 28,762</v>
      </c>
      <c r="S62" s="16" t="str">
        <f>"무효투표수: "&amp;TEXT(N61, "#,##0")</f>
        <v>무효투표수: 1,022</v>
      </c>
      <c r="T62" s="47" t="s">
        <v>141</v>
      </c>
      <c r="U62" s="73" t="str">
        <f>H57</f>
        <v>더불어민주당
유경현</v>
      </c>
      <c r="V62" s="73" t="str">
        <f>I57</f>
        <v>국민의힘
허태래</v>
      </c>
    </row>
    <row r="63" spans="1:24" ht="17.25" thickBot="1">
      <c r="A63" s="2" t="s">
        <v>0</v>
      </c>
      <c r="B63" s="2" t="s">
        <v>1</v>
      </c>
      <c r="C63" s="2" t="s">
        <v>95</v>
      </c>
      <c r="D63" s="2" t="s">
        <v>20</v>
      </c>
      <c r="E63" s="2" t="s">
        <v>12</v>
      </c>
      <c r="F63" s="7">
        <v>60305</v>
      </c>
      <c r="G63" s="7">
        <v>20389</v>
      </c>
      <c r="H63" s="7">
        <v>10536</v>
      </c>
      <c r="I63" s="7">
        <v>9130</v>
      </c>
      <c r="J63" s="8">
        <v>0</v>
      </c>
      <c r="K63" s="8">
        <v>0</v>
      </c>
      <c r="L63" s="8">
        <v>0</v>
      </c>
      <c r="M63" s="7">
        <v>19666</v>
      </c>
      <c r="N63" s="8">
        <v>723</v>
      </c>
      <c r="O63" s="7">
        <v>39916</v>
      </c>
      <c r="P63" s="17" t="str">
        <f>"투표율: "&amp;TEXT(((G61/F61)*100), "0.00")&amp;"%"</f>
        <v>투표율: 42.72%</v>
      </c>
      <c r="Q63" s="12" t="str">
        <f>"기권율: "&amp;TEXT(((O61/F61)*100), "0.00")&amp;"%"</f>
        <v>기권율: 57.28%</v>
      </c>
      <c r="R63" s="17" t="str">
        <f>"유효투표율: "&amp;TEXT(((M61/G61)*100), "0.00")&amp;"%"</f>
        <v>유효투표율: 96.57%</v>
      </c>
      <c r="S63" s="12" t="str">
        <f>"무효투표율: "&amp;TEXT(((N61/G61)*100), "0.00")&amp;"%"</f>
        <v>무효투표율: 3.43%</v>
      </c>
      <c r="T63" s="48"/>
      <c r="U63" s="25" t="str">
        <f>TEXT(H61,"#,##0")&amp;CHAR(10)&amp;"("&amp;TEXT((ROUND((H61/(SUM(H61:K61))*100),2)),"0.00")&amp;"%)"</f>
        <v>15,651
(54.42%)</v>
      </c>
      <c r="V63" s="25" t="str">
        <f>TEXT(I61,"#,##0")&amp;CHAR(10)&amp;"("&amp;TEXT((ROUND((I61/(SUM(H61:K61))*100),2)),"0.00")&amp;"%)"</f>
        <v>13,111
(45.58%)</v>
      </c>
      <c r="W63">
        <f>SUBSTITUTE(SUBSTITUTE(LEFT(U63,FIND("(",U63)-1),",",""),CHAR(10),"")+0</f>
        <v>15651</v>
      </c>
      <c r="X63">
        <f>SUBSTITUTE(SUBSTITUTE(LEFT(V63,FIND("(",V63)-1),",",""),CHAR(10),"")+0</f>
        <v>13111</v>
      </c>
    </row>
    <row r="64" spans="1:24">
      <c r="A64" s="2" t="s">
        <v>0</v>
      </c>
      <c r="B64" s="2" t="s">
        <v>1</v>
      </c>
      <c r="C64" s="2" t="s">
        <v>95</v>
      </c>
      <c r="D64" s="2" t="s">
        <v>22</v>
      </c>
      <c r="E64" s="2" t="s">
        <v>2</v>
      </c>
      <c r="F64" s="8">
        <v>0</v>
      </c>
      <c r="G64" s="8">
        <v>46</v>
      </c>
      <c r="H64" s="8">
        <v>20</v>
      </c>
      <c r="I64" s="8">
        <v>19</v>
      </c>
      <c r="J64" s="8">
        <v>0</v>
      </c>
      <c r="K64" s="8">
        <v>0</v>
      </c>
      <c r="L64" s="8">
        <v>0</v>
      </c>
      <c r="M64" s="8">
        <v>39</v>
      </c>
      <c r="N64" s="8">
        <v>7</v>
      </c>
      <c r="O64" s="8">
        <v>-46</v>
      </c>
    </row>
    <row r="65" spans="1:24" ht="40.5">
      <c r="A65" s="2" t="s">
        <v>0</v>
      </c>
      <c r="B65" s="2" t="s">
        <v>1</v>
      </c>
      <c r="C65" s="2" t="s">
        <v>98</v>
      </c>
      <c r="D65" s="2" t="s">
        <v>2</v>
      </c>
      <c r="E65" s="2" t="s">
        <v>2</v>
      </c>
      <c r="F65" s="7" t="s">
        <v>2</v>
      </c>
      <c r="G65" s="7" t="s">
        <v>2</v>
      </c>
      <c r="H65" s="9" t="s">
        <v>99</v>
      </c>
      <c r="I65" s="9" t="s">
        <v>100</v>
      </c>
      <c r="J65" s="9" t="s">
        <v>5</v>
      </c>
      <c r="K65" s="9" t="s">
        <v>5</v>
      </c>
      <c r="L65" s="9" t="s">
        <v>5</v>
      </c>
      <c r="M65" s="7" t="s">
        <v>2</v>
      </c>
      <c r="N65" s="7" t="s">
        <v>2</v>
      </c>
      <c r="O65" s="7" t="s">
        <v>2</v>
      </c>
    </row>
    <row r="66" spans="1:24">
      <c r="A66" s="2" t="s">
        <v>0</v>
      </c>
      <c r="B66" s="2" t="s">
        <v>1</v>
      </c>
      <c r="C66" s="2" t="s">
        <v>98</v>
      </c>
      <c r="D66" s="2" t="s">
        <v>6</v>
      </c>
      <c r="E66" s="2" t="s">
        <v>2</v>
      </c>
      <c r="F66" s="7">
        <v>73114</v>
      </c>
      <c r="G66" s="7">
        <v>32280</v>
      </c>
      <c r="H66" s="7">
        <v>16765</v>
      </c>
      <c r="I66" s="7">
        <v>14497</v>
      </c>
      <c r="J66" s="8">
        <v>0</v>
      </c>
      <c r="K66" s="8">
        <v>0</v>
      </c>
      <c r="L66" s="8">
        <v>0</v>
      </c>
      <c r="M66" s="7">
        <v>31262</v>
      </c>
      <c r="N66" s="7">
        <v>1018</v>
      </c>
      <c r="O66" s="7">
        <v>40834</v>
      </c>
    </row>
    <row r="67" spans="1:24">
      <c r="A67" s="2" t="s">
        <v>0</v>
      </c>
      <c r="B67" s="2" t="s">
        <v>1</v>
      </c>
      <c r="C67" s="2" t="s">
        <v>98</v>
      </c>
      <c r="D67" s="2" t="s">
        <v>7</v>
      </c>
      <c r="E67" s="2" t="s">
        <v>2</v>
      </c>
      <c r="F67" s="8">
        <v>98</v>
      </c>
      <c r="G67" s="8">
        <v>91</v>
      </c>
      <c r="H67" s="8">
        <v>40</v>
      </c>
      <c r="I67" s="8">
        <v>41</v>
      </c>
      <c r="J67" s="8">
        <v>0</v>
      </c>
      <c r="K67" s="8">
        <v>0</v>
      </c>
      <c r="L67" s="8">
        <v>0</v>
      </c>
      <c r="M67" s="8">
        <v>81</v>
      </c>
      <c r="N67" s="8">
        <v>10</v>
      </c>
      <c r="O67" s="8">
        <v>7</v>
      </c>
    </row>
    <row r="68" spans="1:24" ht="17.25" thickBot="1">
      <c r="A68" s="2" t="s">
        <v>0</v>
      </c>
      <c r="B68" s="2" t="s">
        <v>1</v>
      </c>
      <c r="C68" s="2" t="s">
        <v>98</v>
      </c>
      <c r="D68" s="2" t="s">
        <v>8</v>
      </c>
      <c r="E68" s="2" t="s">
        <v>2</v>
      </c>
      <c r="F68" s="7">
        <v>3964</v>
      </c>
      <c r="G68" s="7">
        <v>3959</v>
      </c>
      <c r="H68" s="7">
        <v>2205</v>
      </c>
      <c r="I68" s="7">
        <v>1652</v>
      </c>
      <c r="J68" s="8">
        <v>0</v>
      </c>
      <c r="K68" s="8">
        <v>0</v>
      </c>
      <c r="L68" s="8">
        <v>0</v>
      </c>
      <c r="M68" s="7">
        <v>3857</v>
      </c>
      <c r="N68" s="8">
        <v>102</v>
      </c>
      <c r="O68" s="8">
        <v>5</v>
      </c>
    </row>
    <row r="69" spans="1:24" ht="17.25" thickBot="1">
      <c r="A69" s="2" t="s">
        <v>0</v>
      </c>
      <c r="B69" s="2" t="s">
        <v>1</v>
      </c>
      <c r="C69" s="2" t="s">
        <v>98</v>
      </c>
      <c r="D69" s="2" t="s">
        <v>21</v>
      </c>
      <c r="E69" s="2" t="s">
        <v>10</v>
      </c>
      <c r="F69" s="7">
        <v>69052</v>
      </c>
      <c r="G69" s="7">
        <v>28196</v>
      </c>
      <c r="H69" s="7">
        <v>14505</v>
      </c>
      <c r="I69" s="7">
        <v>12786</v>
      </c>
      <c r="J69" s="8">
        <v>0</v>
      </c>
      <c r="K69" s="8">
        <v>0</v>
      </c>
      <c r="L69" s="8">
        <v>0</v>
      </c>
      <c r="M69" s="7">
        <v>27291</v>
      </c>
      <c r="N69" s="8">
        <v>905</v>
      </c>
      <c r="O69" s="7">
        <v>40856</v>
      </c>
      <c r="P69" s="44" t="str">
        <f>D69</f>
        <v>오정동</v>
      </c>
      <c r="Q69" s="53"/>
      <c r="R69" s="53"/>
      <c r="S69" s="54"/>
      <c r="T69" s="30" t="s">
        <v>138</v>
      </c>
      <c r="U69" s="49" t="s">
        <v>136</v>
      </c>
      <c r="V69" s="50"/>
    </row>
    <row r="70" spans="1:24" ht="17.25" thickBot="1">
      <c r="A70" s="2" t="s">
        <v>0</v>
      </c>
      <c r="B70" s="2" t="s">
        <v>1</v>
      </c>
      <c r="C70" s="2" t="s">
        <v>98</v>
      </c>
      <c r="D70" s="2" t="s">
        <v>21</v>
      </c>
      <c r="E70" s="2" t="s">
        <v>11</v>
      </c>
      <c r="F70" s="7">
        <v>7478</v>
      </c>
      <c r="G70" s="7">
        <v>7460</v>
      </c>
      <c r="H70" s="7">
        <v>3987</v>
      </c>
      <c r="I70" s="7">
        <v>3253</v>
      </c>
      <c r="J70" s="8">
        <v>0</v>
      </c>
      <c r="K70" s="8">
        <v>0</v>
      </c>
      <c r="L70" s="8">
        <v>0</v>
      </c>
      <c r="M70" s="7">
        <v>7240</v>
      </c>
      <c r="N70" s="8">
        <v>220</v>
      </c>
      <c r="O70" s="8">
        <v>18</v>
      </c>
      <c r="P70" s="40" t="str">
        <f>"투표수: "&amp;TEXT((SUM(H69:K69)+N69), "#,##0")</f>
        <v>투표수: 28,196</v>
      </c>
      <c r="Q70" s="42"/>
      <c r="R70" s="18" t="str">
        <f>"유효투표수: "&amp;TEXT(SUM(H69:K69),"#,##0")</f>
        <v>유효투표수: 27,291</v>
      </c>
      <c r="S70" s="16" t="str">
        <f>"무효투표수: "&amp;TEXT(N69, "#,##0")</f>
        <v>무효투표수: 905</v>
      </c>
      <c r="T70" s="47" t="s">
        <v>141</v>
      </c>
      <c r="U70" s="73" t="str">
        <f>H65</f>
        <v>더불어민주당
박상현</v>
      </c>
      <c r="V70" s="73" t="str">
        <f>I65</f>
        <v>국민의힘
박영호</v>
      </c>
    </row>
    <row r="71" spans="1:24" ht="17.25" thickBot="1">
      <c r="A71" s="2" t="s">
        <v>0</v>
      </c>
      <c r="B71" s="2" t="s">
        <v>1</v>
      </c>
      <c r="C71" s="2" t="s">
        <v>98</v>
      </c>
      <c r="D71" s="2" t="s">
        <v>21</v>
      </c>
      <c r="E71" s="2" t="s">
        <v>12</v>
      </c>
      <c r="F71" s="7">
        <v>61574</v>
      </c>
      <c r="G71" s="7">
        <v>20736</v>
      </c>
      <c r="H71" s="7">
        <v>10518</v>
      </c>
      <c r="I71" s="7">
        <v>9533</v>
      </c>
      <c r="J71" s="8">
        <v>0</v>
      </c>
      <c r="K71" s="8">
        <v>0</v>
      </c>
      <c r="L71" s="8">
        <v>0</v>
      </c>
      <c r="M71" s="7">
        <v>20051</v>
      </c>
      <c r="N71" s="8">
        <v>685</v>
      </c>
      <c r="O71" s="7">
        <v>40838</v>
      </c>
      <c r="P71" s="17" t="str">
        <f>"투표율: "&amp;TEXT(((G69/F69)*100), "0.00")&amp;"%"</f>
        <v>투표율: 40.83%</v>
      </c>
      <c r="Q71" s="12" t="str">
        <f>"기권율: "&amp;TEXT(((O69/F69)*100), "0.00")&amp;"%"</f>
        <v>기권율: 59.17%</v>
      </c>
      <c r="R71" s="17" t="str">
        <f>"유효투표율: "&amp;TEXT(((M69/G69)*100), "0.00")&amp;"%"</f>
        <v>유효투표율: 96.79%</v>
      </c>
      <c r="S71" s="12" t="str">
        <f>"무효투표율: "&amp;TEXT(((N69/G69)*100), "0.00")&amp;"%"</f>
        <v>무효투표율: 3.21%</v>
      </c>
      <c r="T71" s="48"/>
      <c r="U71" s="25" t="str">
        <f>TEXT(H69,"#,##0")&amp;CHAR(10)&amp;"("&amp;TEXT((ROUND((H69/(SUM(H69:K69))*100),2)),"0.00")&amp;"%)"</f>
        <v>14,505
(53.15%)</v>
      </c>
      <c r="V71" s="25" t="str">
        <f>TEXT(I69,"#,##0")&amp;CHAR(10)&amp;"("&amp;TEXT((ROUND((I69/(SUM(H69:K69))*100),2)),"0.00")&amp;"%)"</f>
        <v>12,786
(46.85%)</v>
      </c>
      <c r="W71">
        <f>SUBSTITUTE(SUBSTITUTE(LEFT(U71,FIND("(",U71)-1),",",""),CHAR(10),"")+0</f>
        <v>14505</v>
      </c>
      <c r="X71">
        <f>SUBSTITUTE(SUBSTITUTE(LEFT(V71,FIND("(",V71)-1),",",""),CHAR(10),"")+0</f>
        <v>12786</v>
      </c>
    </row>
    <row r="72" spans="1:24" ht="17.25" thickBot="1">
      <c r="A72" s="2" t="s">
        <v>0</v>
      </c>
      <c r="B72" s="2" t="s">
        <v>1</v>
      </c>
      <c r="C72" s="2" t="s">
        <v>98</v>
      </c>
      <c r="D72" s="2" t="s">
        <v>22</v>
      </c>
      <c r="E72" s="2" t="s">
        <v>2</v>
      </c>
      <c r="F72" s="8">
        <v>0</v>
      </c>
      <c r="G72" s="8">
        <v>34</v>
      </c>
      <c r="H72" s="8">
        <v>15</v>
      </c>
      <c r="I72" s="8">
        <v>18</v>
      </c>
      <c r="J72" s="8">
        <v>0</v>
      </c>
      <c r="K72" s="8">
        <v>0</v>
      </c>
      <c r="L72" s="8">
        <v>0</v>
      </c>
      <c r="M72" s="8">
        <v>33</v>
      </c>
      <c r="N72" s="8">
        <v>1</v>
      </c>
      <c r="O72" s="8">
        <v>-34</v>
      </c>
    </row>
    <row r="73" spans="1:24" ht="17.25" thickBot="1">
      <c r="P73" s="13" t="s">
        <v>143</v>
      </c>
      <c r="Q73" s="14" t="s">
        <v>145</v>
      </c>
      <c r="R73" s="19" t="s">
        <v>147</v>
      </c>
    </row>
    <row r="74" spans="1:24" ht="17.25" thickBot="1">
      <c r="P74" s="31" t="str">
        <f>TEXT(((N69+N61)/(M69+M61))*100, "0.00")&amp;"%"</f>
        <v>3.44%</v>
      </c>
      <c r="Q74" s="32" t="str">
        <f>TEXT(((N34+N26+N23)/(M34+M26+M23))*100, "0.00")&amp;"%"</f>
        <v>2.50%</v>
      </c>
      <c r="R74" s="33" t="str">
        <f>TEXT(((N53+N45+N42)/(M53+M45+M42))*100, "0.00")&amp;"%"</f>
        <v>2.32%</v>
      </c>
    </row>
    <row r="75" spans="1:24">
      <c r="O75" s="11" t="s">
        <v>181</v>
      </c>
      <c r="P75" s="11" t="s">
        <v>180</v>
      </c>
      <c r="Q75" s="11" t="s">
        <v>172</v>
      </c>
      <c r="R75" s="11" t="s">
        <v>172</v>
      </c>
    </row>
    <row r="76" spans="1:24">
      <c r="O76" s="11" t="s">
        <v>175</v>
      </c>
      <c r="P76" s="11" t="s">
        <v>185</v>
      </c>
      <c r="Q76" s="11" t="s">
        <v>178</v>
      </c>
      <c r="R76" s="11" t="s">
        <v>178</v>
      </c>
    </row>
    <row r="77" spans="1:24" ht="17.25" thickBot="1">
      <c r="O77" s="11" t="s">
        <v>176</v>
      </c>
      <c r="P77" s="11" t="s">
        <v>185</v>
      </c>
      <c r="Q77" s="11" t="s">
        <v>178</v>
      </c>
      <c r="R77" s="11" t="s">
        <v>178</v>
      </c>
    </row>
    <row r="78" spans="1:24" ht="17.25" thickBot="1">
      <c r="P78" s="58" t="s">
        <v>194</v>
      </c>
      <c r="Q78" s="59"/>
      <c r="R78" s="60"/>
    </row>
    <row r="79" spans="1:24" ht="17.25" thickBot="1">
      <c r="P79" s="13" t="s">
        <v>141</v>
      </c>
      <c r="Q79" s="14" t="s">
        <v>139</v>
      </c>
      <c r="R79" s="19" t="s">
        <v>140</v>
      </c>
    </row>
    <row r="80" spans="1:24" ht="17.25" thickBot="1">
      <c r="P80" s="61">
        <f>(W71+W63)/(SUM(W71:X71,W63:X63))</f>
        <v>0.53799083010721993</v>
      </c>
      <c r="Q80" s="61">
        <f>(W36+W28+W25)/(SUM(W36:X36,W28:X28,W25:X25))</f>
        <v>0.52669376829109937</v>
      </c>
      <c r="R80" s="62">
        <f>(W55+W47+W44)/(SUM(W55:X55,W47:X47,W44:X44))</f>
        <v>0.536988714929301</v>
      </c>
    </row>
    <row r="81" spans="16:18" ht="17.25" thickBot="1"/>
    <row r="82" spans="16:18" ht="17.25" thickBot="1">
      <c r="P82" s="58" t="s">
        <v>198</v>
      </c>
      <c r="Q82" s="59"/>
      <c r="R82" s="60"/>
    </row>
    <row r="83" spans="16:18" ht="17.25" thickBot="1">
      <c r="P83" s="66" t="s">
        <v>141</v>
      </c>
      <c r="Q83" s="67" t="s">
        <v>139</v>
      </c>
      <c r="R83" s="71" t="s">
        <v>140</v>
      </c>
    </row>
    <row r="84" spans="16:18" ht="17.25" thickBot="1">
      <c r="P84" s="86">
        <f>(X71+X63)/(SUM(W71:X71,W63:X63))</f>
        <v>0.46200916989278007</v>
      </c>
      <c r="Q84" s="86">
        <f>(X25+X28+X36)/(SUM(W36:X36,W28:X28,W25:X25))</f>
        <v>0.47330623170890057</v>
      </c>
      <c r="R84" s="87">
        <f>(X55+X47+X44)/(SUM(W55:X55,W47:X47,W44:X44))</f>
        <v>0.46301128507069894</v>
      </c>
    </row>
  </sheetData>
  <mergeCells count="53">
    <mergeCell ref="P78:R78"/>
    <mergeCell ref="P82:R82"/>
    <mergeCell ref="P69:S69"/>
    <mergeCell ref="U69:V69"/>
    <mergeCell ref="P70:Q70"/>
    <mergeCell ref="T70:T71"/>
    <mergeCell ref="P54:Q54"/>
    <mergeCell ref="T54:T55"/>
    <mergeCell ref="P61:S61"/>
    <mergeCell ref="U61:V61"/>
    <mergeCell ref="P62:Q62"/>
    <mergeCell ref="T62:T63"/>
    <mergeCell ref="P45:S45"/>
    <mergeCell ref="U45:V45"/>
    <mergeCell ref="P46:Q46"/>
    <mergeCell ref="T46:T47"/>
    <mergeCell ref="P53:S53"/>
    <mergeCell ref="U53:V53"/>
    <mergeCell ref="P35:Q35"/>
    <mergeCell ref="T35:T36"/>
    <mergeCell ref="P42:S42"/>
    <mergeCell ref="U42:V42"/>
    <mergeCell ref="P43:Q43"/>
    <mergeCell ref="T43:T44"/>
    <mergeCell ref="P26:S26"/>
    <mergeCell ref="U26:V26"/>
    <mergeCell ref="P27:Q27"/>
    <mergeCell ref="T27:T28"/>
    <mergeCell ref="P34:S34"/>
    <mergeCell ref="U34:V34"/>
    <mergeCell ref="P16:Q16"/>
    <mergeCell ref="T16:T17"/>
    <mergeCell ref="P23:S23"/>
    <mergeCell ref="U23:V23"/>
    <mergeCell ref="P24:Q24"/>
    <mergeCell ref="T24:T25"/>
    <mergeCell ref="P8:Q8"/>
    <mergeCell ref="T8:T9"/>
    <mergeCell ref="U7:V7"/>
    <mergeCell ref="P15:S15"/>
    <mergeCell ref="U15:V15"/>
    <mergeCell ref="P7:S7"/>
    <mergeCell ref="G1:G2"/>
    <mergeCell ref="M1:M2"/>
    <mergeCell ref="N1:N2"/>
    <mergeCell ref="O1:O2"/>
    <mergeCell ref="H1:L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1E77-9D65-4D3A-B179-4628EC6C67B9}">
  <dimension ref="A1:Y48"/>
  <sheetViews>
    <sheetView topLeftCell="A4" zoomScale="70" zoomScaleNormal="70" workbookViewId="0">
      <selection activeCell="F44" sqref="F44"/>
    </sheetView>
  </sheetViews>
  <sheetFormatPr defaultRowHeight="16.5"/>
  <cols>
    <col min="5" max="5" width="11.375" bestFit="1" customWidth="1"/>
    <col min="8" max="8" width="11.375" bestFit="1" customWidth="1"/>
    <col min="9" max="9" width="8" bestFit="1" customWidth="1"/>
    <col min="10" max="10" width="6.375" bestFit="1" customWidth="1"/>
    <col min="15" max="15" width="14.625" bestFit="1" customWidth="1"/>
    <col min="16" max="16" width="14.625" customWidth="1"/>
    <col min="17" max="17" width="19.25" bestFit="1" customWidth="1"/>
    <col min="18" max="18" width="17.625" bestFit="1" customWidth="1"/>
    <col min="19" max="19" width="9" customWidth="1"/>
    <col min="20" max="21" width="16.125" bestFit="1" customWidth="1"/>
    <col min="22" max="22" width="14" bestFit="1" customWidth="1"/>
    <col min="23" max="24" width="15.625" bestFit="1" customWidth="1"/>
    <col min="25" max="25" width="19.125" bestFit="1" customWidth="1"/>
    <col min="26" max="26" width="17.625" bestFit="1" customWidth="1"/>
    <col min="27" max="27" width="22.75" bestFit="1" customWidth="1"/>
  </cols>
  <sheetData>
    <row r="1" spans="1:25">
      <c r="A1" s="38" t="s">
        <v>107</v>
      </c>
      <c r="B1" s="38" t="s">
        <v>131</v>
      </c>
      <c r="C1" s="38" t="s">
        <v>109</v>
      </c>
      <c r="D1" s="38" t="s">
        <v>110</v>
      </c>
      <c r="E1" s="38" t="s">
        <v>111</v>
      </c>
      <c r="F1" s="38" t="s">
        <v>112</v>
      </c>
      <c r="G1" s="38" t="s">
        <v>113</v>
      </c>
      <c r="H1" s="38" t="s">
        <v>114</v>
      </c>
      <c r="I1" s="38"/>
      <c r="J1" s="38"/>
      <c r="K1" s="38"/>
      <c r="L1" s="38" t="s">
        <v>115</v>
      </c>
      <c r="M1" s="38" t="s">
        <v>116</v>
      </c>
      <c r="N1" s="38" t="s">
        <v>117</v>
      </c>
    </row>
    <row r="2" spans="1:25" ht="17.25" customHeight="1">
      <c r="A2" s="38"/>
      <c r="B2" s="38"/>
      <c r="C2" s="38"/>
      <c r="D2" s="38"/>
      <c r="E2" s="38"/>
      <c r="F2" s="38" t="s">
        <v>112</v>
      </c>
      <c r="G2" s="38" t="s">
        <v>112</v>
      </c>
      <c r="H2" s="4" t="s">
        <v>132</v>
      </c>
      <c r="I2" s="4" t="s">
        <v>133</v>
      </c>
      <c r="J2" s="4" t="s">
        <v>134</v>
      </c>
      <c r="K2" s="4" t="s">
        <v>135</v>
      </c>
      <c r="L2" s="38" t="s">
        <v>112</v>
      </c>
      <c r="M2" s="38" t="s">
        <v>112</v>
      </c>
      <c r="N2" s="38" t="s">
        <v>112</v>
      </c>
      <c r="Q2" t="s">
        <v>166</v>
      </c>
    </row>
    <row r="3" spans="1:25" ht="165.75" thickBot="1">
      <c r="A3" s="2" t="s">
        <v>0</v>
      </c>
      <c r="B3" s="2" t="s">
        <v>1</v>
      </c>
      <c r="C3" s="2" t="s">
        <v>1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74</v>
      </c>
      <c r="I3" s="2" t="s">
        <v>75</v>
      </c>
      <c r="J3" s="2" t="s">
        <v>76</v>
      </c>
      <c r="K3" s="2" t="s">
        <v>2</v>
      </c>
      <c r="L3" s="2" t="s">
        <v>2</v>
      </c>
      <c r="M3" s="2" t="s">
        <v>2</v>
      </c>
      <c r="N3" s="2" t="s">
        <v>2</v>
      </c>
      <c r="P3" s="1" t="str">
        <f>_xlfn.TEXTJOIN(CHAR(10),TRUE,O7,O10,O13,O16,O19,O22,O25,O28,O31,O34)</f>
        <v>심곡동
부천동
중동
신중동
상동
대산동
소사본동
범안동
성곡동
오정동</v>
      </c>
      <c r="Q3" t="s">
        <v>165</v>
      </c>
    </row>
    <row r="4" spans="1:25" ht="17.25" thickBot="1">
      <c r="A4" s="2" t="s">
        <v>0</v>
      </c>
      <c r="B4" s="2" t="s">
        <v>1</v>
      </c>
      <c r="C4" s="2" t="s">
        <v>1</v>
      </c>
      <c r="D4" s="2" t="s">
        <v>6</v>
      </c>
      <c r="E4" s="2" t="s">
        <v>2</v>
      </c>
      <c r="F4" s="7">
        <v>702974</v>
      </c>
      <c r="G4" s="7">
        <v>347411</v>
      </c>
      <c r="H4" s="7">
        <v>168109</v>
      </c>
      <c r="I4" s="7">
        <v>156068</v>
      </c>
      <c r="J4" s="7">
        <v>16281</v>
      </c>
      <c r="K4" s="8">
        <v>0</v>
      </c>
      <c r="L4" s="7">
        <v>340458</v>
      </c>
      <c r="M4" s="7">
        <v>6953</v>
      </c>
      <c r="N4" s="7">
        <v>355563</v>
      </c>
      <c r="O4" s="44" t="s">
        <v>153</v>
      </c>
      <c r="P4" s="53"/>
      <c r="Q4" s="53"/>
      <c r="R4" s="54"/>
      <c r="S4" s="30" t="s">
        <v>138</v>
      </c>
      <c r="T4" s="49" t="s">
        <v>136</v>
      </c>
      <c r="U4" s="51"/>
      <c r="V4" s="52"/>
    </row>
    <row r="5" spans="1:25" ht="17.25" thickBot="1">
      <c r="A5" s="2" t="s">
        <v>0</v>
      </c>
      <c r="B5" s="2" t="s">
        <v>1</v>
      </c>
      <c r="C5" s="2" t="s">
        <v>1</v>
      </c>
      <c r="D5" s="2" t="s">
        <v>7</v>
      </c>
      <c r="E5" s="2" t="s">
        <v>2</v>
      </c>
      <c r="F5" s="8">
        <v>888</v>
      </c>
      <c r="G5" s="8">
        <v>839</v>
      </c>
      <c r="H5" s="8">
        <v>333</v>
      </c>
      <c r="I5" s="8">
        <v>353</v>
      </c>
      <c r="J5" s="8">
        <v>37</v>
      </c>
      <c r="K5" s="8">
        <v>0</v>
      </c>
      <c r="L5" s="8">
        <v>723</v>
      </c>
      <c r="M5" s="8">
        <v>116</v>
      </c>
      <c r="N5" s="8">
        <v>49</v>
      </c>
      <c r="O5" s="40" t="str">
        <f>"투표수: "&amp;TEXT((SUM(H4:K4)+M4), "#,##0")</f>
        <v>투표수: 347,411</v>
      </c>
      <c r="P5" s="42"/>
      <c r="Q5" s="18" t="str">
        <f>"유효투표수: "&amp;TEXT(SUM(H4:K4),"#,##0")</f>
        <v>유효투표수: 340,458</v>
      </c>
      <c r="R5" s="16" t="str">
        <f>"무효투표수: "&amp;TEXT(M4, "#,##0")</f>
        <v>무효투표수: 6,953</v>
      </c>
      <c r="S5" s="47" t="s">
        <v>148</v>
      </c>
      <c r="T5" s="24" t="str">
        <f>$H$3</f>
        <v>더불어민주당</v>
      </c>
      <c r="U5" s="24" t="str">
        <f>$I$3</f>
        <v>국민의힘</v>
      </c>
      <c r="V5" s="24" t="str">
        <f>$J$3</f>
        <v>정의당</v>
      </c>
    </row>
    <row r="6" spans="1:25" ht="17.25" thickBot="1">
      <c r="A6" s="2" t="s">
        <v>0</v>
      </c>
      <c r="B6" s="2" t="s">
        <v>1</v>
      </c>
      <c r="C6" s="2" t="s">
        <v>1</v>
      </c>
      <c r="D6" s="2" t="s">
        <v>8</v>
      </c>
      <c r="E6" s="2" t="s">
        <v>2</v>
      </c>
      <c r="F6" s="7">
        <v>38580</v>
      </c>
      <c r="G6" s="7">
        <v>38460</v>
      </c>
      <c r="H6" s="7">
        <v>19968</v>
      </c>
      <c r="I6" s="7">
        <v>15989</v>
      </c>
      <c r="J6" s="7">
        <v>2020</v>
      </c>
      <c r="K6" s="8">
        <v>0</v>
      </c>
      <c r="L6" s="7">
        <v>37977</v>
      </c>
      <c r="M6" s="8">
        <v>483</v>
      </c>
      <c r="N6" s="8">
        <v>120</v>
      </c>
      <c r="O6" s="17" t="str">
        <f>"투표율: "&amp;TEXT(((G4/F4)*100), "0.00")&amp;"%"</f>
        <v>투표율: 49.42%</v>
      </c>
      <c r="P6" s="12" t="str">
        <f>"기권율: "&amp;TEXT(((N4/F4)*100), "0.00")&amp;"%"</f>
        <v>기권율: 50.58%</v>
      </c>
      <c r="Q6" s="17" t="str">
        <f>"유효투표율: "&amp;TEXT(((L4/G4)*100), "0.00")&amp;"%"</f>
        <v>유효투표율: 98.00%</v>
      </c>
      <c r="R6" s="12" t="str">
        <f>"무효투표율: "&amp;TEXT(((M4/G4)*100), "0.00")&amp;"%"</f>
        <v>무효투표율: 2.00%</v>
      </c>
      <c r="S6" s="48"/>
      <c r="T6" s="25" t="str">
        <f>TEXT(H4,"#,##0")&amp;CHAR(10)&amp;"("&amp;TEXT((ROUND((H4/(SUM(H4:K4))*100),2)),"0.00")&amp;"%)"</f>
        <v>168,109
(49.38%)</v>
      </c>
      <c r="U6" s="25" t="str">
        <f>TEXT(I4,"#,##0")&amp;CHAR(10)&amp;"("&amp;TEXT((ROUND((I4/(SUM(H4:K4))*100),2)),"0.00")&amp;"%)"</f>
        <v>156,068
(45.84%)</v>
      </c>
      <c r="V6" s="25" t="str">
        <f>TEXT(J4,"#,##0")&amp;CHAR(10)&amp;"("&amp;TEXT((ROUND((J4/(SUM(H4:K4))*100),2)),"0.00")&amp;"%)"</f>
        <v>16,281
(4.78%)</v>
      </c>
      <c r="W6">
        <f>SUBSTITUTE(SUBSTITUTE(LEFT(T6,FIND("(",T6)-1),",",""),CHAR(10),"")+0</f>
        <v>168109</v>
      </c>
      <c r="X6">
        <f>SUBSTITUTE(SUBSTITUTE(LEFT(U6,FIND("(",U6)-1),",",""),CHAR(10),"")+0</f>
        <v>156068</v>
      </c>
      <c r="Y6">
        <f>SUBSTITUTE(SUBSTITUTE(LEFT(V6,FIND("(",V6)-1),",",""),CHAR(10),"")+0</f>
        <v>16281</v>
      </c>
    </row>
    <row r="7" spans="1:25" ht="17.25" thickBot="1">
      <c r="A7" s="2" t="s">
        <v>0</v>
      </c>
      <c r="B7" s="2" t="s">
        <v>1</v>
      </c>
      <c r="C7" s="2" t="s">
        <v>1</v>
      </c>
      <c r="D7" s="2" t="s">
        <v>9</v>
      </c>
      <c r="E7" s="2" t="s">
        <v>10</v>
      </c>
      <c r="F7" s="7">
        <v>55544</v>
      </c>
      <c r="G7" s="7">
        <v>21521</v>
      </c>
      <c r="H7" s="7">
        <v>10407</v>
      </c>
      <c r="I7" s="7">
        <v>9857</v>
      </c>
      <c r="J7" s="8">
        <v>810</v>
      </c>
      <c r="K7" s="8">
        <v>0</v>
      </c>
      <c r="L7" s="7">
        <v>21074</v>
      </c>
      <c r="M7" s="8">
        <v>447</v>
      </c>
      <c r="N7" s="7">
        <v>34023</v>
      </c>
      <c r="O7" s="44" t="str">
        <f>D7</f>
        <v>심곡동</v>
      </c>
      <c r="P7" s="53"/>
      <c r="Q7" s="53"/>
      <c r="R7" s="54"/>
      <c r="S7" s="30" t="s">
        <v>138</v>
      </c>
      <c r="T7" s="49" t="s">
        <v>136</v>
      </c>
      <c r="U7" s="51"/>
      <c r="V7" s="52"/>
    </row>
    <row r="8" spans="1:25" ht="17.25" thickBot="1">
      <c r="A8" s="2" t="s">
        <v>0</v>
      </c>
      <c r="B8" s="2" t="s">
        <v>1</v>
      </c>
      <c r="C8" s="2" t="s">
        <v>1</v>
      </c>
      <c r="D8" s="2" t="s">
        <v>9</v>
      </c>
      <c r="E8" s="2" t="s">
        <v>11</v>
      </c>
      <c r="F8" s="7">
        <v>7646</v>
      </c>
      <c r="G8" s="7">
        <v>7636</v>
      </c>
      <c r="H8" s="7">
        <v>3824</v>
      </c>
      <c r="I8" s="7">
        <v>3463</v>
      </c>
      <c r="J8" s="8">
        <v>244</v>
      </c>
      <c r="K8" s="8">
        <v>0</v>
      </c>
      <c r="L8" s="7">
        <v>7531</v>
      </c>
      <c r="M8" s="8">
        <v>105</v>
      </c>
      <c r="N8" s="8">
        <v>10</v>
      </c>
      <c r="O8" s="40" t="str">
        <f>"투표수: "&amp;TEXT((SUM(H7:K7)+M7), "#,##0")</f>
        <v>투표수: 21,521</v>
      </c>
      <c r="P8" s="42"/>
      <c r="Q8" s="18" t="str">
        <f>"유효투표수: "&amp;TEXT(SUM(H7:K7),"#,##0")</f>
        <v>유효투표수: 21,074</v>
      </c>
      <c r="R8" s="16" t="str">
        <f>"무효투표수: "&amp;TEXT(M7, "#,##0")</f>
        <v>무효투표수: 447</v>
      </c>
      <c r="S8" s="47" t="s">
        <v>154</v>
      </c>
      <c r="T8" s="24" t="str">
        <f>$H$3</f>
        <v>더불어민주당</v>
      </c>
      <c r="U8" s="24" t="str">
        <f>$I$3</f>
        <v>국민의힘</v>
      </c>
      <c r="V8" s="24" t="str">
        <f>$J$3</f>
        <v>정의당</v>
      </c>
    </row>
    <row r="9" spans="1:25" ht="17.25" thickBot="1">
      <c r="A9" s="2" t="s">
        <v>0</v>
      </c>
      <c r="B9" s="2" t="s">
        <v>1</v>
      </c>
      <c r="C9" s="2" t="s">
        <v>1</v>
      </c>
      <c r="D9" s="2" t="s">
        <v>9</v>
      </c>
      <c r="E9" s="2" t="s">
        <v>12</v>
      </c>
      <c r="F9" s="7">
        <v>47898</v>
      </c>
      <c r="G9" s="7">
        <v>13885</v>
      </c>
      <c r="H9" s="7">
        <v>6583</v>
      </c>
      <c r="I9" s="7">
        <v>6394</v>
      </c>
      <c r="J9" s="8">
        <v>566</v>
      </c>
      <c r="K9" s="8">
        <v>0</v>
      </c>
      <c r="L9" s="7">
        <v>13543</v>
      </c>
      <c r="M9" s="8">
        <v>342</v>
      </c>
      <c r="N9" s="7">
        <v>34013</v>
      </c>
      <c r="O9" s="17" t="str">
        <f>"투표율: "&amp;TEXT(((G7/F7)*100), "0.00")&amp;"%"</f>
        <v>투표율: 38.75%</v>
      </c>
      <c r="P9" s="12" t="str">
        <f>"기권율: "&amp;TEXT(((N7/F7)*100), "0.00")&amp;"%"</f>
        <v>기권율: 61.25%</v>
      </c>
      <c r="Q9" s="17" t="str">
        <f>"유효투표율: "&amp;TEXT(((L7/G7)*100), "0.00")&amp;"%"</f>
        <v>유효투표율: 97.92%</v>
      </c>
      <c r="R9" s="12" t="str">
        <f>"무효투표율: "&amp;TEXT(((M7/G7)*100), "0.00")&amp;"%"</f>
        <v>무효투표율: 2.08%</v>
      </c>
      <c r="S9" s="48"/>
      <c r="T9" s="25" t="str">
        <f>TEXT(H7,"#,##0")&amp;CHAR(10)&amp;"("&amp;TEXT((ROUND((H7/(SUM(H7:K7))*100),2)),"0.00")&amp;"%)"</f>
        <v>10,407
(49.38%)</v>
      </c>
      <c r="U9" s="25" t="str">
        <f>TEXT(I7,"#,##0")&amp;CHAR(10)&amp;"("&amp;TEXT((ROUND((I7/(SUM(H7:K7))*100),2)),"0.00")&amp;"%)"</f>
        <v>9,857
(46.77%)</v>
      </c>
      <c r="V9" s="25" t="str">
        <f>TEXT(J7,"#,##0")&amp;CHAR(10)&amp;"("&amp;TEXT((ROUND((J7/(SUM(H7:K7))*100),2)),"0.00")&amp;"%)"</f>
        <v>810
(3.84%)</v>
      </c>
      <c r="W9">
        <f>SUBSTITUTE(SUBSTITUTE(LEFT(T9,FIND("(",T9)-1),",",""),CHAR(10),"")+0</f>
        <v>10407</v>
      </c>
      <c r="X9">
        <f>SUBSTITUTE(SUBSTITUTE(LEFT(U9,FIND("(",U9)-1),",",""),CHAR(10),"")+0</f>
        <v>9857</v>
      </c>
      <c r="Y9">
        <f>SUBSTITUTE(SUBSTITUTE(LEFT(V9,FIND("(",V9)-1),",",""),CHAR(10),"")+0</f>
        <v>810</v>
      </c>
    </row>
    <row r="10" spans="1:25" ht="17.25" thickBot="1">
      <c r="A10" s="2" t="s">
        <v>0</v>
      </c>
      <c r="B10" s="2" t="s">
        <v>1</v>
      </c>
      <c r="C10" s="2" t="s">
        <v>1</v>
      </c>
      <c r="D10" s="2" t="s">
        <v>13</v>
      </c>
      <c r="E10" s="2" t="s">
        <v>10</v>
      </c>
      <c r="F10" s="7">
        <v>75081</v>
      </c>
      <c r="G10" s="7">
        <v>33689</v>
      </c>
      <c r="H10" s="7">
        <v>16739</v>
      </c>
      <c r="I10" s="7">
        <v>14779</v>
      </c>
      <c r="J10" s="7">
        <v>1402</v>
      </c>
      <c r="K10" s="8">
        <v>0</v>
      </c>
      <c r="L10" s="7">
        <v>32920</v>
      </c>
      <c r="M10" s="8">
        <v>769</v>
      </c>
      <c r="N10" s="7">
        <v>41392</v>
      </c>
      <c r="O10" s="44" t="str">
        <f>D10</f>
        <v>부천동</v>
      </c>
      <c r="P10" s="53"/>
      <c r="Q10" s="53"/>
      <c r="R10" s="54"/>
      <c r="S10" s="30" t="s">
        <v>138</v>
      </c>
      <c r="T10" s="49" t="s">
        <v>136</v>
      </c>
      <c r="U10" s="51"/>
      <c r="V10" s="52"/>
    </row>
    <row r="11" spans="1:25" ht="17.25" thickBot="1">
      <c r="A11" s="2" t="s">
        <v>0</v>
      </c>
      <c r="B11" s="2" t="s">
        <v>1</v>
      </c>
      <c r="C11" s="2" t="s">
        <v>1</v>
      </c>
      <c r="D11" s="2" t="s">
        <v>13</v>
      </c>
      <c r="E11" s="2" t="s">
        <v>11</v>
      </c>
      <c r="F11" s="7">
        <v>11409</v>
      </c>
      <c r="G11" s="7">
        <v>11391</v>
      </c>
      <c r="H11" s="7">
        <v>6025</v>
      </c>
      <c r="I11" s="7">
        <v>4810</v>
      </c>
      <c r="J11" s="8">
        <v>435</v>
      </c>
      <c r="K11" s="8">
        <v>0</v>
      </c>
      <c r="L11" s="7">
        <v>11270</v>
      </c>
      <c r="M11" s="8">
        <v>121</v>
      </c>
      <c r="N11" s="8">
        <v>18</v>
      </c>
      <c r="O11" s="40" t="str">
        <f>"투표수: "&amp;TEXT((SUM(H10:K10)+M10), "#,##0")</f>
        <v>투표수: 33,689</v>
      </c>
      <c r="P11" s="42"/>
      <c r="Q11" s="18" t="str">
        <f>"유효투표수: "&amp;TEXT(SUM(H10:K10),"#,##0")</f>
        <v>유효투표수: 32,920</v>
      </c>
      <c r="R11" s="16" t="str">
        <f>"무효투표수: "&amp;TEXT(M10, "#,##0")</f>
        <v>무효투표수: 769</v>
      </c>
      <c r="S11" s="47" t="s">
        <v>154</v>
      </c>
      <c r="T11" s="24" t="str">
        <f>$H$3</f>
        <v>더불어민주당</v>
      </c>
      <c r="U11" s="24" t="str">
        <f>$I$3</f>
        <v>국민의힘</v>
      </c>
      <c r="V11" s="24" t="str">
        <f>$J$3</f>
        <v>정의당</v>
      </c>
    </row>
    <row r="12" spans="1:25" ht="17.25" thickBot="1">
      <c r="A12" s="2" t="s">
        <v>0</v>
      </c>
      <c r="B12" s="2" t="s">
        <v>1</v>
      </c>
      <c r="C12" s="2" t="s">
        <v>1</v>
      </c>
      <c r="D12" s="2" t="s">
        <v>13</v>
      </c>
      <c r="E12" s="2" t="s">
        <v>12</v>
      </c>
      <c r="F12" s="7">
        <v>63672</v>
      </c>
      <c r="G12" s="7">
        <v>22298</v>
      </c>
      <c r="H12" s="7">
        <v>10714</v>
      </c>
      <c r="I12" s="7">
        <v>9969</v>
      </c>
      <c r="J12" s="8">
        <v>967</v>
      </c>
      <c r="K12" s="8">
        <v>0</v>
      </c>
      <c r="L12" s="7">
        <v>21650</v>
      </c>
      <c r="M12" s="8">
        <v>648</v>
      </c>
      <c r="N12" s="7">
        <v>41374</v>
      </c>
      <c r="O12" s="17" t="str">
        <f>"투표율: "&amp;TEXT(((G10/F10)*100), "0.00")&amp;"%"</f>
        <v>투표율: 44.87%</v>
      </c>
      <c r="P12" s="12" t="str">
        <f>"기권율: "&amp;TEXT(((N10/F10)*100), "0.00")&amp;"%"</f>
        <v>기권율: 55.13%</v>
      </c>
      <c r="Q12" s="17" t="str">
        <f>"유효투표율: "&amp;TEXT(((L10/G10)*100), "0.00")&amp;"%"</f>
        <v>유효투표율: 97.72%</v>
      </c>
      <c r="R12" s="12" t="str">
        <f>"무효투표율: "&amp;TEXT(((M10/G10)*100), "0.00")&amp;"%"</f>
        <v>무효투표율: 2.28%</v>
      </c>
      <c r="S12" s="48"/>
      <c r="T12" s="25" t="str">
        <f>TEXT(H10,"#,##0")&amp;CHAR(10)&amp;"("&amp;TEXT((ROUND((H10/(SUM(H10:K10))*100),2)),"0.00")&amp;"%)"</f>
        <v>16,739
(50.85%)</v>
      </c>
      <c r="U12" s="25" t="str">
        <f>TEXT(I10,"#,##0")&amp;CHAR(10)&amp;"("&amp;TEXT((ROUND((I10/(SUM(H10:K10))*100),2)),"0.00")&amp;"%)"</f>
        <v>14,779
(44.89%)</v>
      </c>
      <c r="V12" s="25" t="str">
        <f>TEXT(J10,"#,##0")&amp;CHAR(10)&amp;"("&amp;TEXT((ROUND((J10/(SUM(H10:K10))*100),2)),"0.00")&amp;"%)"</f>
        <v>1,402
(4.26%)</v>
      </c>
      <c r="W12">
        <f>SUBSTITUTE(SUBSTITUTE(LEFT(T12,FIND("(",T12)-1),",",""),CHAR(10),"")+0</f>
        <v>16739</v>
      </c>
      <c r="X12">
        <f>SUBSTITUTE(SUBSTITUTE(LEFT(U12,FIND("(",U12)-1),",",""),CHAR(10),"")+0</f>
        <v>14779</v>
      </c>
      <c r="Y12">
        <f>SUBSTITUTE(SUBSTITUTE(LEFT(V12,FIND("(",V12)-1),",",""),CHAR(10),"")+0</f>
        <v>1402</v>
      </c>
    </row>
    <row r="13" spans="1:25" ht="17.25" thickBot="1">
      <c r="A13" s="2" t="s">
        <v>0</v>
      </c>
      <c r="B13" s="2" t="s">
        <v>1</v>
      </c>
      <c r="C13" s="2" t="s">
        <v>1</v>
      </c>
      <c r="D13" s="2" t="s">
        <v>14</v>
      </c>
      <c r="E13" s="2" t="s">
        <v>10</v>
      </c>
      <c r="F13" s="7">
        <v>33255</v>
      </c>
      <c r="G13" s="7">
        <v>15964</v>
      </c>
      <c r="H13" s="7">
        <v>7149</v>
      </c>
      <c r="I13" s="7">
        <v>7798</v>
      </c>
      <c r="J13" s="8">
        <v>721</v>
      </c>
      <c r="K13" s="8">
        <v>0</v>
      </c>
      <c r="L13" s="7">
        <v>15668</v>
      </c>
      <c r="M13" s="8">
        <v>296</v>
      </c>
      <c r="N13" s="7">
        <v>17291</v>
      </c>
      <c r="O13" s="44" t="str">
        <f>D13</f>
        <v>중동</v>
      </c>
      <c r="P13" s="53"/>
      <c r="Q13" s="53"/>
      <c r="R13" s="54"/>
      <c r="S13" s="30" t="s">
        <v>138</v>
      </c>
      <c r="T13" s="49" t="s">
        <v>136</v>
      </c>
      <c r="U13" s="51"/>
      <c r="V13" s="52"/>
    </row>
    <row r="14" spans="1:25" ht="17.25" thickBot="1">
      <c r="A14" s="2" t="s">
        <v>0</v>
      </c>
      <c r="B14" s="2" t="s">
        <v>1</v>
      </c>
      <c r="C14" s="2" t="s">
        <v>1</v>
      </c>
      <c r="D14" s="2" t="s">
        <v>14</v>
      </c>
      <c r="E14" s="2" t="s">
        <v>11</v>
      </c>
      <c r="F14" s="7">
        <v>5125</v>
      </c>
      <c r="G14" s="7">
        <v>5107</v>
      </c>
      <c r="H14" s="7">
        <v>2366</v>
      </c>
      <c r="I14" s="7">
        <v>2486</v>
      </c>
      <c r="J14" s="8">
        <v>195</v>
      </c>
      <c r="K14" s="8">
        <v>0</v>
      </c>
      <c r="L14" s="7">
        <v>5047</v>
      </c>
      <c r="M14" s="8">
        <v>60</v>
      </c>
      <c r="N14" s="8">
        <v>18</v>
      </c>
      <c r="O14" s="40" t="str">
        <f>"투표수: "&amp;TEXT((SUM(H13:K13)+M13), "#,##0")</f>
        <v>투표수: 15,964</v>
      </c>
      <c r="P14" s="42"/>
      <c r="Q14" s="18" t="str">
        <f>"유효투표수: "&amp;TEXT(SUM(H13:K13),"#,##0")</f>
        <v>유효투표수: 15,668</v>
      </c>
      <c r="R14" s="16" t="str">
        <f>"무효투표수: "&amp;TEXT(M13, "#,##0")</f>
        <v>무효투표수: 296</v>
      </c>
      <c r="S14" s="47" t="s">
        <v>139</v>
      </c>
      <c r="T14" s="24" t="str">
        <f>$H$3</f>
        <v>더불어민주당</v>
      </c>
      <c r="U14" s="24" t="str">
        <f>$I$3</f>
        <v>국민의힘</v>
      </c>
      <c r="V14" s="24" t="str">
        <f>$J$3</f>
        <v>정의당</v>
      </c>
    </row>
    <row r="15" spans="1:25" ht="17.25" thickBot="1">
      <c r="A15" s="2" t="s">
        <v>0</v>
      </c>
      <c r="B15" s="2" t="s">
        <v>1</v>
      </c>
      <c r="C15" s="2" t="s">
        <v>1</v>
      </c>
      <c r="D15" s="2" t="s">
        <v>14</v>
      </c>
      <c r="E15" s="2" t="s">
        <v>12</v>
      </c>
      <c r="F15" s="7">
        <v>28130</v>
      </c>
      <c r="G15" s="7">
        <v>10857</v>
      </c>
      <c r="H15" s="7">
        <v>4783</v>
      </c>
      <c r="I15" s="7">
        <v>5312</v>
      </c>
      <c r="J15" s="8">
        <v>526</v>
      </c>
      <c r="K15" s="8">
        <v>0</v>
      </c>
      <c r="L15" s="7">
        <v>10621</v>
      </c>
      <c r="M15" s="8">
        <v>236</v>
      </c>
      <c r="N15" s="7">
        <v>17273</v>
      </c>
      <c r="O15" s="17" t="str">
        <f>"투표율: "&amp;TEXT(((G13/F13)*100), "0.00")&amp;"%"</f>
        <v>투표율: 48.00%</v>
      </c>
      <c r="P15" s="12" t="str">
        <f>"기권율: "&amp;TEXT(((N13/F13)*100), "0.00")&amp;"%"</f>
        <v>기권율: 52.00%</v>
      </c>
      <c r="Q15" s="17" t="str">
        <f>"유효투표율: "&amp;TEXT(((L13/G13)*100), "0.00")&amp;"%"</f>
        <v>유효투표율: 98.15%</v>
      </c>
      <c r="R15" s="12" t="str">
        <f>"무효투표율: "&amp;TEXT(((M13/G13)*100), "0.00")&amp;"%"</f>
        <v>무효투표율: 1.85%</v>
      </c>
      <c r="S15" s="48"/>
      <c r="T15" s="25" t="str">
        <f>TEXT(H13,"#,##0")&amp;CHAR(10)&amp;"("&amp;TEXT((ROUND((H13/(SUM(H13:K13))*100),2)),"0.00")&amp;"%)"</f>
        <v>7,149
(45.63%)</v>
      </c>
      <c r="U15" s="25" t="str">
        <f>TEXT(I13,"#,##0")&amp;CHAR(10)&amp;"("&amp;TEXT((ROUND((I13/(SUM(H13:K13))*100),2)),"0.00")&amp;"%)"</f>
        <v>7,798
(49.77%)</v>
      </c>
      <c r="V15" s="25" t="str">
        <f>TEXT(J13,"#,##0")&amp;CHAR(10)&amp;"("&amp;TEXT((ROUND((J13/(SUM(H13:K13))*100),2)),"0.00")&amp;"%)"</f>
        <v>721
(4.60%)</v>
      </c>
      <c r="W15">
        <f>SUBSTITUTE(SUBSTITUTE(LEFT(T15,FIND("(",T15)-1),",",""),CHAR(10),"")+0</f>
        <v>7149</v>
      </c>
      <c r="X15">
        <f>SUBSTITUTE(SUBSTITUTE(LEFT(U15,FIND("(",U15)-1),",",""),CHAR(10),"")+0</f>
        <v>7798</v>
      </c>
      <c r="Y15">
        <f>SUBSTITUTE(SUBSTITUTE(LEFT(V15,FIND("(",V15)-1),",",""),CHAR(10),"")+0</f>
        <v>721</v>
      </c>
    </row>
    <row r="16" spans="1:25" ht="17.25" thickBot="1">
      <c r="A16" s="2" t="s">
        <v>0</v>
      </c>
      <c r="B16" s="2" t="s">
        <v>1</v>
      </c>
      <c r="C16" s="2" t="s">
        <v>1</v>
      </c>
      <c r="D16" s="2" t="s">
        <v>15</v>
      </c>
      <c r="E16" s="2" t="s">
        <v>10</v>
      </c>
      <c r="F16" s="7">
        <v>104891</v>
      </c>
      <c r="G16" s="7">
        <v>51614</v>
      </c>
      <c r="H16" s="7">
        <v>23713</v>
      </c>
      <c r="I16" s="7">
        <v>24363</v>
      </c>
      <c r="J16" s="7">
        <v>2504</v>
      </c>
      <c r="K16" s="8">
        <v>0</v>
      </c>
      <c r="L16" s="7">
        <v>50580</v>
      </c>
      <c r="M16" s="7">
        <v>1034</v>
      </c>
      <c r="N16" s="7">
        <v>53277</v>
      </c>
      <c r="O16" s="44" t="str">
        <f>D16</f>
        <v>신중동</v>
      </c>
      <c r="P16" s="53"/>
      <c r="Q16" s="53"/>
      <c r="R16" s="54"/>
      <c r="S16" s="30" t="s">
        <v>138</v>
      </c>
      <c r="T16" s="49" t="s">
        <v>136</v>
      </c>
      <c r="U16" s="51"/>
      <c r="V16" s="52"/>
    </row>
    <row r="17" spans="1:25" ht="17.25" thickBot="1">
      <c r="A17" s="2" t="s">
        <v>0</v>
      </c>
      <c r="B17" s="2" t="s">
        <v>1</v>
      </c>
      <c r="C17" s="2" t="s">
        <v>1</v>
      </c>
      <c r="D17" s="2" t="s">
        <v>15</v>
      </c>
      <c r="E17" s="2" t="s">
        <v>11</v>
      </c>
      <c r="F17" s="7">
        <v>14948</v>
      </c>
      <c r="G17" s="7">
        <v>14920</v>
      </c>
      <c r="H17" s="7">
        <v>7476</v>
      </c>
      <c r="I17" s="7">
        <v>6653</v>
      </c>
      <c r="J17" s="8">
        <v>650</v>
      </c>
      <c r="K17" s="8">
        <v>0</v>
      </c>
      <c r="L17" s="7">
        <v>14779</v>
      </c>
      <c r="M17" s="8">
        <v>141</v>
      </c>
      <c r="N17" s="8">
        <v>28</v>
      </c>
      <c r="O17" s="40" t="str">
        <f>"투표수: "&amp;TEXT((SUM(H16:K16)+M16), "#,##0")</f>
        <v>투표수: 51,614</v>
      </c>
      <c r="P17" s="42"/>
      <c r="Q17" s="18" t="str">
        <f>"유효투표수: "&amp;TEXT(SUM(H16:K16),"#,##0")</f>
        <v>유효투표수: 50,580</v>
      </c>
      <c r="R17" s="16" t="str">
        <f>"무효투표수: "&amp;TEXT(M16, "#,##0")</f>
        <v>무효투표수: 1,034</v>
      </c>
      <c r="S17" s="47" t="s">
        <v>139</v>
      </c>
      <c r="T17" s="24" t="str">
        <f>$H$3</f>
        <v>더불어민주당</v>
      </c>
      <c r="U17" s="24" t="str">
        <f>$I$3</f>
        <v>국민의힘</v>
      </c>
      <c r="V17" s="24" t="str">
        <f>$J$3</f>
        <v>정의당</v>
      </c>
    </row>
    <row r="18" spans="1:25" ht="17.25" thickBot="1">
      <c r="A18" s="2" t="s">
        <v>0</v>
      </c>
      <c r="B18" s="2" t="s">
        <v>1</v>
      </c>
      <c r="C18" s="2" t="s">
        <v>1</v>
      </c>
      <c r="D18" s="2" t="s">
        <v>15</v>
      </c>
      <c r="E18" s="2" t="s">
        <v>12</v>
      </c>
      <c r="F18" s="7">
        <v>89943</v>
      </c>
      <c r="G18" s="7">
        <v>36694</v>
      </c>
      <c r="H18" s="7">
        <v>16237</v>
      </c>
      <c r="I18" s="7">
        <v>17710</v>
      </c>
      <c r="J18" s="7">
        <v>1854</v>
      </c>
      <c r="K18" s="8">
        <v>0</v>
      </c>
      <c r="L18" s="7">
        <v>35801</v>
      </c>
      <c r="M18" s="8">
        <v>893</v>
      </c>
      <c r="N18" s="7">
        <v>53249</v>
      </c>
      <c r="O18" s="17" t="str">
        <f>"투표율: "&amp;TEXT(((G16/F16)*100), "0.00")&amp;"%"</f>
        <v>투표율: 49.21%</v>
      </c>
      <c r="P18" s="12" t="str">
        <f>"기권율: "&amp;TEXT(((N16/F16)*100), "0.00")&amp;"%"</f>
        <v>기권율: 50.79%</v>
      </c>
      <c r="Q18" s="17" t="str">
        <f>"유효투표율: "&amp;TEXT(((L16/G16)*100), "0.00")&amp;"%"</f>
        <v>유효투표율: 98.00%</v>
      </c>
      <c r="R18" s="12" t="str">
        <f>"무효투표율: "&amp;TEXT(((M16/G16)*100), "0.00")&amp;"%"</f>
        <v>무효투표율: 2.00%</v>
      </c>
      <c r="S18" s="48"/>
      <c r="T18" s="25" t="str">
        <f>TEXT(H16,"#,##0")&amp;CHAR(10)&amp;"("&amp;TEXT((ROUND((H16/(SUM(H16:K16))*100),2)),"0.00")&amp;"%)"</f>
        <v>23,713
(46.88%)</v>
      </c>
      <c r="U18" s="25" t="str">
        <f>TEXT(I16,"#,##0")&amp;CHAR(10)&amp;"("&amp;TEXT((ROUND((I16/(SUM(H16:K16))*100),2)),"0.00")&amp;"%)"</f>
        <v>24,363
(48.17%)</v>
      </c>
      <c r="V18" s="25" t="str">
        <f>TEXT(J16,"#,##0")&amp;CHAR(10)&amp;"("&amp;TEXT((ROUND((J16/(SUM(H16:K16))*100),2)),"0.00")&amp;"%)"</f>
        <v>2,504
(4.95%)</v>
      </c>
      <c r="W18">
        <f>SUBSTITUTE(SUBSTITUTE(LEFT(T18,FIND("(",T18)-1),",",""),CHAR(10),"")+0</f>
        <v>23713</v>
      </c>
      <c r="X18">
        <f>SUBSTITUTE(SUBSTITUTE(LEFT(U18,FIND("(",U18)-1),",",""),CHAR(10),"")+0</f>
        <v>24363</v>
      </c>
      <c r="Y18">
        <f>SUBSTITUTE(SUBSTITUTE(LEFT(V18,FIND("(",V18)-1),",",""),CHAR(10),"")+0</f>
        <v>2504</v>
      </c>
    </row>
    <row r="19" spans="1:25" ht="17.25" thickBot="1">
      <c r="A19" s="2" t="s">
        <v>0</v>
      </c>
      <c r="B19" s="2" t="s">
        <v>1</v>
      </c>
      <c r="C19" s="2" t="s">
        <v>1</v>
      </c>
      <c r="D19" s="2" t="s">
        <v>16</v>
      </c>
      <c r="E19" s="2" t="s">
        <v>10</v>
      </c>
      <c r="F19" s="7">
        <v>65723</v>
      </c>
      <c r="G19" s="7">
        <v>35007</v>
      </c>
      <c r="H19" s="7">
        <v>17274</v>
      </c>
      <c r="I19" s="7">
        <v>15322</v>
      </c>
      <c r="J19" s="7">
        <v>1936</v>
      </c>
      <c r="K19" s="8">
        <v>0</v>
      </c>
      <c r="L19" s="7">
        <v>34532</v>
      </c>
      <c r="M19" s="8">
        <v>475</v>
      </c>
      <c r="N19" s="7">
        <v>30716</v>
      </c>
      <c r="O19" s="44" t="str">
        <f>D19</f>
        <v>상동</v>
      </c>
      <c r="P19" s="53"/>
      <c r="Q19" s="53"/>
      <c r="R19" s="54"/>
      <c r="S19" s="30" t="s">
        <v>138</v>
      </c>
      <c r="T19" s="49" t="s">
        <v>136</v>
      </c>
      <c r="U19" s="51"/>
      <c r="V19" s="52"/>
    </row>
    <row r="20" spans="1:25" ht="17.25" thickBot="1">
      <c r="A20" s="2" t="s">
        <v>0</v>
      </c>
      <c r="B20" s="2" t="s">
        <v>1</v>
      </c>
      <c r="C20" s="2" t="s">
        <v>1</v>
      </c>
      <c r="D20" s="2" t="s">
        <v>16</v>
      </c>
      <c r="E20" s="2" t="s">
        <v>11</v>
      </c>
      <c r="F20" s="7">
        <v>12380</v>
      </c>
      <c r="G20" s="7">
        <v>12318</v>
      </c>
      <c r="H20" s="7">
        <v>6347</v>
      </c>
      <c r="I20" s="7">
        <v>5193</v>
      </c>
      <c r="J20" s="8">
        <v>682</v>
      </c>
      <c r="K20" s="8">
        <v>0</v>
      </c>
      <c r="L20" s="7">
        <v>12222</v>
      </c>
      <c r="M20" s="8">
        <v>96</v>
      </c>
      <c r="N20" s="8">
        <v>62</v>
      </c>
      <c r="O20" s="40" t="str">
        <f>"투표수: "&amp;TEXT((SUM(H19:K19)+M19), "#,##0")</f>
        <v>투표수: 35,007</v>
      </c>
      <c r="P20" s="42"/>
      <c r="Q20" s="18" t="str">
        <f>"유효투표수: "&amp;TEXT(SUM(H19:K19),"#,##0")</f>
        <v>유효투표수: 34,532</v>
      </c>
      <c r="R20" s="16" t="str">
        <f>"무효투표수: "&amp;TEXT(M19, "#,##0")</f>
        <v>무효투표수: 475</v>
      </c>
      <c r="S20" s="47" t="s">
        <v>139</v>
      </c>
      <c r="T20" s="24" t="str">
        <f>$H$3</f>
        <v>더불어민주당</v>
      </c>
      <c r="U20" s="24" t="str">
        <f>$I$3</f>
        <v>국민의힘</v>
      </c>
      <c r="V20" s="24" t="str">
        <f>$J$3</f>
        <v>정의당</v>
      </c>
    </row>
    <row r="21" spans="1:25" ht="17.25" thickBot="1">
      <c r="A21" s="2" t="s">
        <v>0</v>
      </c>
      <c r="B21" s="2" t="s">
        <v>1</v>
      </c>
      <c r="C21" s="2" t="s">
        <v>1</v>
      </c>
      <c r="D21" s="2" t="s">
        <v>16</v>
      </c>
      <c r="E21" s="2" t="s">
        <v>12</v>
      </c>
      <c r="F21" s="7">
        <v>53343</v>
      </c>
      <c r="G21" s="7">
        <v>22689</v>
      </c>
      <c r="H21" s="7">
        <v>10927</v>
      </c>
      <c r="I21" s="7">
        <v>10129</v>
      </c>
      <c r="J21" s="7">
        <v>1254</v>
      </c>
      <c r="K21" s="8">
        <v>0</v>
      </c>
      <c r="L21" s="7">
        <v>22310</v>
      </c>
      <c r="M21" s="8">
        <v>379</v>
      </c>
      <c r="N21" s="7">
        <v>30654</v>
      </c>
      <c r="O21" s="17" t="str">
        <f>"투표율: "&amp;TEXT(((G19/F19)*100), "0.00")&amp;"%"</f>
        <v>투표율: 53.26%</v>
      </c>
      <c r="P21" s="12" t="str">
        <f>"기권율: "&amp;TEXT(((N19/F19)*100), "0.00")&amp;"%"</f>
        <v>기권율: 46.74%</v>
      </c>
      <c r="Q21" s="17" t="str">
        <f>"유효투표율: "&amp;TEXT(((L19/G19)*100), "0.00")&amp;"%"</f>
        <v>유효투표율: 98.64%</v>
      </c>
      <c r="R21" s="12" t="str">
        <f>"무효투표율: "&amp;TEXT(((M19/G19)*100), "0.00")&amp;"%"</f>
        <v>무효투표율: 1.36%</v>
      </c>
      <c r="S21" s="48"/>
      <c r="T21" s="25" t="str">
        <f>TEXT(H19,"#,##0")&amp;CHAR(10)&amp;"("&amp;TEXT((ROUND((H19/(SUM(H19:K19))*100),2)),"0.00")&amp;"%)"</f>
        <v>17,274
(50.02%)</v>
      </c>
      <c r="U21" s="25" t="str">
        <f>TEXT(I19,"#,##0")&amp;CHAR(10)&amp;"("&amp;TEXT((ROUND((I19/(SUM(H19:K19))*100),2)),"0.00")&amp;"%)"</f>
        <v>15,322
(44.37%)</v>
      </c>
      <c r="V21" s="25" t="str">
        <f>TEXT(J19,"#,##0")&amp;CHAR(10)&amp;"("&amp;TEXT((ROUND((J19/(SUM(H19:K19))*100),2)),"0.00")&amp;"%)"</f>
        <v>1,936
(5.61%)</v>
      </c>
      <c r="W21">
        <f>SUBSTITUTE(SUBSTITUTE(LEFT(T21,FIND("(",T21)-1),",",""),CHAR(10),"")+0</f>
        <v>17274</v>
      </c>
      <c r="X21">
        <f>SUBSTITUTE(SUBSTITUTE(LEFT(U21,FIND("(",U21)-1),",",""),CHAR(10),"")+0</f>
        <v>15322</v>
      </c>
      <c r="Y21">
        <f>SUBSTITUTE(SUBSTITUTE(LEFT(V21,FIND("(",V21)-1),",",""),CHAR(10),"")+0</f>
        <v>1936</v>
      </c>
    </row>
    <row r="22" spans="1:25" ht="17.25" thickBot="1">
      <c r="A22" s="2" t="s">
        <v>0</v>
      </c>
      <c r="B22" s="2" t="s">
        <v>1</v>
      </c>
      <c r="C22" s="2" t="s">
        <v>1</v>
      </c>
      <c r="D22" s="2" t="s">
        <v>17</v>
      </c>
      <c r="E22" s="2" t="s">
        <v>10</v>
      </c>
      <c r="F22" s="7">
        <v>69217</v>
      </c>
      <c r="G22" s="7">
        <v>31943</v>
      </c>
      <c r="H22" s="7">
        <v>14779</v>
      </c>
      <c r="I22" s="7">
        <v>14902</v>
      </c>
      <c r="J22" s="7">
        <v>1595</v>
      </c>
      <c r="K22" s="8">
        <v>0</v>
      </c>
      <c r="L22" s="7">
        <v>31276</v>
      </c>
      <c r="M22" s="8">
        <v>667</v>
      </c>
      <c r="N22" s="7">
        <v>37274</v>
      </c>
      <c r="O22" s="44" t="str">
        <f>D22</f>
        <v>대산동</v>
      </c>
      <c r="P22" s="53"/>
      <c r="Q22" s="53"/>
      <c r="R22" s="54"/>
      <c r="S22" s="30" t="s">
        <v>138</v>
      </c>
      <c r="T22" s="49" t="s">
        <v>136</v>
      </c>
      <c r="U22" s="51"/>
      <c r="V22" s="52"/>
    </row>
    <row r="23" spans="1:25" ht="17.25" thickBot="1">
      <c r="A23" s="2" t="s">
        <v>0</v>
      </c>
      <c r="B23" s="2" t="s">
        <v>1</v>
      </c>
      <c r="C23" s="2" t="s">
        <v>1</v>
      </c>
      <c r="D23" s="2" t="s">
        <v>17</v>
      </c>
      <c r="E23" s="2" t="s">
        <v>11</v>
      </c>
      <c r="F23" s="7">
        <v>10727</v>
      </c>
      <c r="G23" s="7">
        <v>10702</v>
      </c>
      <c r="H23" s="7">
        <v>5210</v>
      </c>
      <c r="I23" s="7">
        <v>4904</v>
      </c>
      <c r="J23" s="8">
        <v>490</v>
      </c>
      <c r="K23" s="8">
        <v>0</v>
      </c>
      <c r="L23" s="7">
        <v>10604</v>
      </c>
      <c r="M23" s="8">
        <v>98</v>
      </c>
      <c r="N23" s="8">
        <v>25</v>
      </c>
      <c r="O23" s="40" t="str">
        <f>"투표수: "&amp;TEXT((SUM(H22:K22)+M22), "#,##0")</f>
        <v>투표수: 31,943</v>
      </c>
      <c r="P23" s="42"/>
      <c r="Q23" s="18" t="str">
        <f>"유효투표수: "&amp;TEXT(SUM(H22:K22),"#,##0")</f>
        <v>유효투표수: 31,276</v>
      </c>
      <c r="R23" s="16" t="str">
        <f>"무효투표수: "&amp;TEXT(M22, "#,##0")</f>
        <v>무효투표수: 667</v>
      </c>
      <c r="S23" s="47" t="s">
        <v>140</v>
      </c>
      <c r="T23" s="24" t="str">
        <f>$H$3</f>
        <v>더불어민주당</v>
      </c>
      <c r="U23" s="24" t="str">
        <f>$I$3</f>
        <v>국민의힘</v>
      </c>
      <c r="V23" s="24" t="str">
        <f>$J$3</f>
        <v>정의당</v>
      </c>
    </row>
    <row r="24" spans="1:25" ht="17.25" thickBot="1">
      <c r="A24" s="2" t="s">
        <v>0</v>
      </c>
      <c r="B24" s="2" t="s">
        <v>1</v>
      </c>
      <c r="C24" s="2" t="s">
        <v>1</v>
      </c>
      <c r="D24" s="2" t="s">
        <v>17</v>
      </c>
      <c r="E24" s="2" t="s">
        <v>12</v>
      </c>
      <c r="F24" s="7">
        <v>58490</v>
      </c>
      <c r="G24" s="7">
        <v>21241</v>
      </c>
      <c r="H24" s="7">
        <v>9569</v>
      </c>
      <c r="I24" s="7">
        <v>9998</v>
      </c>
      <c r="J24" s="7">
        <v>1105</v>
      </c>
      <c r="K24" s="8">
        <v>0</v>
      </c>
      <c r="L24" s="7">
        <v>20672</v>
      </c>
      <c r="M24" s="8">
        <v>569</v>
      </c>
      <c r="N24" s="7">
        <v>37249</v>
      </c>
      <c r="O24" s="17" t="str">
        <f>"투표율: "&amp;TEXT(((G22/F22)*100), "0.00")&amp;"%"</f>
        <v>투표율: 46.15%</v>
      </c>
      <c r="P24" s="12" t="str">
        <f>"기권율: "&amp;TEXT(((N22/F22)*100), "0.00")&amp;"%"</f>
        <v>기권율: 53.85%</v>
      </c>
      <c r="Q24" s="17" t="str">
        <f>"유효투표율: "&amp;TEXT(((L22/G22)*100), "0.00")&amp;"%"</f>
        <v>유효투표율: 97.91%</v>
      </c>
      <c r="R24" s="12" t="str">
        <f>"무효투표율: "&amp;TEXT(((M22/G22)*100), "0.00")&amp;"%"</f>
        <v>무효투표율: 2.09%</v>
      </c>
      <c r="S24" s="48"/>
      <c r="T24" s="25" t="str">
        <f>TEXT(H22,"#,##0")&amp;CHAR(10)&amp;"("&amp;TEXT((ROUND((H22/(SUM(H22:K22))*100),2)),"0.00")&amp;"%)"</f>
        <v>14,779
(47.25%)</v>
      </c>
      <c r="U24" s="25" t="str">
        <f>TEXT(I22,"#,##0")&amp;CHAR(10)&amp;"("&amp;TEXT((ROUND((I22/(SUM(H22:K22))*100),2)),"0.00")&amp;"%)"</f>
        <v>14,902
(47.65%)</v>
      </c>
      <c r="V24" s="25" t="str">
        <f>TEXT(J22,"#,##0")&amp;CHAR(10)&amp;"("&amp;TEXT((ROUND((J22/(SUM(H22:K22))*100),2)),"0.00")&amp;"%)"</f>
        <v>1,595
(5.10%)</v>
      </c>
      <c r="W24">
        <f>SUBSTITUTE(SUBSTITUTE(LEFT(T24,FIND("(",T24)-1),",",""),CHAR(10),"")+0</f>
        <v>14779</v>
      </c>
      <c r="X24">
        <f>SUBSTITUTE(SUBSTITUTE(LEFT(U24,FIND("(",U24)-1),",",""),CHAR(10),"")+0</f>
        <v>14902</v>
      </c>
      <c r="Y24">
        <f>SUBSTITUTE(SUBSTITUTE(LEFT(V24,FIND("(",V24)-1),",",""),CHAR(10),"")+0</f>
        <v>1595</v>
      </c>
    </row>
    <row r="25" spans="1:25" ht="17.25" thickBot="1">
      <c r="A25" s="2" t="s">
        <v>0</v>
      </c>
      <c r="B25" s="2" t="s">
        <v>1</v>
      </c>
      <c r="C25" s="2" t="s">
        <v>1</v>
      </c>
      <c r="D25" s="2" t="s">
        <v>18</v>
      </c>
      <c r="E25" s="2" t="s">
        <v>10</v>
      </c>
      <c r="F25" s="7">
        <v>47320</v>
      </c>
      <c r="G25" s="7">
        <v>22384</v>
      </c>
      <c r="H25" s="7">
        <v>10430</v>
      </c>
      <c r="I25" s="7">
        <v>10566</v>
      </c>
      <c r="J25" s="8">
        <v>918</v>
      </c>
      <c r="K25" s="8">
        <v>0</v>
      </c>
      <c r="L25" s="7">
        <v>21914</v>
      </c>
      <c r="M25" s="8">
        <v>470</v>
      </c>
      <c r="N25" s="7">
        <v>24936</v>
      </c>
      <c r="O25" s="44" t="str">
        <f>D25</f>
        <v>소사본동</v>
      </c>
      <c r="P25" s="53"/>
      <c r="Q25" s="53"/>
      <c r="R25" s="54"/>
      <c r="S25" s="30" t="s">
        <v>138</v>
      </c>
      <c r="T25" s="49" t="s">
        <v>136</v>
      </c>
      <c r="U25" s="51"/>
      <c r="V25" s="52"/>
    </row>
    <row r="26" spans="1:25" ht="17.25" thickBot="1">
      <c r="A26" s="2" t="s">
        <v>0</v>
      </c>
      <c r="B26" s="2" t="s">
        <v>1</v>
      </c>
      <c r="C26" s="2" t="s">
        <v>1</v>
      </c>
      <c r="D26" s="2" t="s">
        <v>18</v>
      </c>
      <c r="E26" s="2" t="s">
        <v>11</v>
      </c>
      <c r="F26" s="7">
        <v>7201</v>
      </c>
      <c r="G26" s="7">
        <v>7180</v>
      </c>
      <c r="H26" s="7">
        <v>3490</v>
      </c>
      <c r="I26" s="7">
        <v>3358</v>
      </c>
      <c r="J26" s="8">
        <v>254</v>
      </c>
      <c r="K26" s="8">
        <v>0</v>
      </c>
      <c r="L26" s="7">
        <v>7102</v>
      </c>
      <c r="M26" s="8">
        <v>78</v>
      </c>
      <c r="N26" s="8">
        <v>21</v>
      </c>
      <c r="O26" s="40" t="str">
        <f>"투표수: "&amp;TEXT((SUM(H25:K25)+M25), "#,##0")</f>
        <v>투표수: 22,384</v>
      </c>
      <c r="P26" s="42"/>
      <c r="Q26" s="18" t="str">
        <f>"유효투표수: "&amp;TEXT(SUM(H25:K25),"#,##0")</f>
        <v>유효투표수: 21,914</v>
      </c>
      <c r="R26" s="16" t="str">
        <f>"무효투표수: "&amp;TEXT(M25, "#,##0")</f>
        <v>무효투표수: 470</v>
      </c>
      <c r="S26" s="47" t="s">
        <v>140</v>
      </c>
      <c r="T26" s="24" t="str">
        <f>$H$3</f>
        <v>더불어민주당</v>
      </c>
      <c r="U26" s="24" t="str">
        <f>$I$3</f>
        <v>국민의힘</v>
      </c>
      <c r="V26" s="24" t="str">
        <f>$J$3</f>
        <v>정의당</v>
      </c>
    </row>
    <row r="27" spans="1:25" ht="17.25" thickBot="1">
      <c r="A27" s="2" t="s">
        <v>0</v>
      </c>
      <c r="B27" s="2" t="s">
        <v>1</v>
      </c>
      <c r="C27" s="2" t="s">
        <v>1</v>
      </c>
      <c r="D27" s="2" t="s">
        <v>18</v>
      </c>
      <c r="E27" s="2" t="s">
        <v>12</v>
      </c>
      <c r="F27" s="7">
        <v>40119</v>
      </c>
      <c r="G27" s="7">
        <v>15204</v>
      </c>
      <c r="H27" s="7">
        <v>6940</v>
      </c>
      <c r="I27" s="7">
        <v>7208</v>
      </c>
      <c r="J27" s="8">
        <v>664</v>
      </c>
      <c r="K27" s="8">
        <v>0</v>
      </c>
      <c r="L27" s="7">
        <v>14812</v>
      </c>
      <c r="M27" s="8">
        <v>392</v>
      </c>
      <c r="N27" s="7">
        <v>24915</v>
      </c>
      <c r="O27" s="17" t="str">
        <f>"투표율: "&amp;TEXT(((G25/F25)*100), "0.00")&amp;"%"</f>
        <v>투표율: 47.30%</v>
      </c>
      <c r="P27" s="12" t="str">
        <f>"기권율: "&amp;TEXT(((N25/F25)*100), "0.00")&amp;"%"</f>
        <v>기권율: 52.70%</v>
      </c>
      <c r="Q27" s="17" t="str">
        <f>"유효투표율: "&amp;TEXT(((L25/G25)*100), "0.00")&amp;"%"</f>
        <v>유효투표율: 97.90%</v>
      </c>
      <c r="R27" s="12" t="str">
        <f>"무효투표율: "&amp;TEXT(((M25/G25)*100), "0.00")&amp;"%"</f>
        <v>무효투표율: 2.10%</v>
      </c>
      <c r="S27" s="48"/>
      <c r="T27" s="25" t="str">
        <f>TEXT(H25,"#,##0")&amp;CHAR(10)&amp;"("&amp;TEXT((ROUND((H25/(SUM(H25:K25))*100),2)),"0.00")&amp;"%)"</f>
        <v>10,430
(47.60%)</v>
      </c>
      <c r="U27" s="25" t="str">
        <f>TEXT(I25,"#,##0")&amp;CHAR(10)&amp;"("&amp;TEXT((ROUND((I25/(SUM(H25:K25))*100),2)),"0.00")&amp;"%)"</f>
        <v>10,566
(48.22%)</v>
      </c>
      <c r="V27" s="25" t="str">
        <f>TEXT(J25,"#,##0")&amp;CHAR(10)&amp;"("&amp;TEXT((ROUND((J25/(SUM(H25:K25))*100),2)),"0.00")&amp;"%)"</f>
        <v>918
(4.19%)</v>
      </c>
      <c r="W27">
        <f>SUBSTITUTE(SUBSTITUTE(LEFT(T27,FIND("(",T27)-1),",",""),CHAR(10),"")+0</f>
        <v>10430</v>
      </c>
      <c r="X27">
        <f>SUBSTITUTE(SUBSTITUTE(LEFT(U27,FIND("(",U27)-1),",",""),CHAR(10),"")+0</f>
        <v>10566</v>
      </c>
      <c r="Y27">
        <f>SUBSTITUTE(SUBSTITUTE(LEFT(V27,FIND("(",V27)-1),",",""),CHAR(10),"")+0</f>
        <v>918</v>
      </c>
    </row>
    <row r="28" spans="1:25" ht="17.25" thickBot="1">
      <c r="A28" s="2" t="s">
        <v>0</v>
      </c>
      <c r="B28" s="2" t="s">
        <v>1</v>
      </c>
      <c r="C28" s="2" t="s">
        <v>1</v>
      </c>
      <c r="D28" s="2" t="s">
        <v>19</v>
      </c>
      <c r="E28" s="2" t="s">
        <v>10</v>
      </c>
      <c r="F28" s="7">
        <v>73698</v>
      </c>
      <c r="G28" s="7">
        <v>37381</v>
      </c>
      <c r="H28" s="7">
        <v>18747</v>
      </c>
      <c r="I28" s="7">
        <v>16151</v>
      </c>
      <c r="J28" s="7">
        <v>1859</v>
      </c>
      <c r="K28" s="8">
        <v>0</v>
      </c>
      <c r="L28" s="7">
        <v>36757</v>
      </c>
      <c r="M28" s="8">
        <v>624</v>
      </c>
      <c r="N28" s="7">
        <v>36317</v>
      </c>
      <c r="O28" s="44" t="str">
        <f>D28</f>
        <v>범안동</v>
      </c>
      <c r="P28" s="53"/>
      <c r="Q28" s="53"/>
      <c r="R28" s="54"/>
      <c r="S28" s="30" t="s">
        <v>138</v>
      </c>
      <c r="T28" s="49" t="s">
        <v>136</v>
      </c>
      <c r="U28" s="51"/>
      <c r="V28" s="52"/>
    </row>
    <row r="29" spans="1:25" ht="17.25" thickBot="1">
      <c r="A29" s="2" t="s">
        <v>0</v>
      </c>
      <c r="B29" s="2" t="s">
        <v>1</v>
      </c>
      <c r="C29" s="2" t="s">
        <v>1</v>
      </c>
      <c r="D29" s="2" t="s">
        <v>19</v>
      </c>
      <c r="E29" s="2" t="s">
        <v>11</v>
      </c>
      <c r="F29" s="7">
        <v>10306</v>
      </c>
      <c r="G29" s="7">
        <v>10286</v>
      </c>
      <c r="H29" s="7">
        <v>5410</v>
      </c>
      <c r="I29" s="7">
        <v>4421</v>
      </c>
      <c r="J29" s="8">
        <v>382</v>
      </c>
      <c r="K29" s="8">
        <v>0</v>
      </c>
      <c r="L29" s="7">
        <v>10213</v>
      </c>
      <c r="M29" s="8">
        <v>73</v>
      </c>
      <c r="N29" s="8">
        <v>20</v>
      </c>
      <c r="O29" s="40" t="str">
        <f>"투표수: "&amp;TEXT((SUM(H28:K28)+M28), "#,##0")</f>
        <v>투표수: 37,381</v>
      </c>
      <c r="P29" s="42"/>
      <c r="Q29" s="18" t="str">
        <f>"유효투표수: "&amp;TEXT(SUM(H28:K28),"#,##0")</f>
        <v>유효투표수: 36,757</v>
      </c>
      <c r="R29" s="16" t="str">
        <f>"무효투표수: "&amp;TEXT(M28, "#,##0")</f>
        <v>무효투표수: 624</v>
      </c>
      <c r="S29" s="47" t="s">
        <v>140</v>
      </c>
      <c r="T29" s="24" t="str">
        <f>$H$3</f>
        <v>더불어민주당</v>
      </c>
      <c r="U29" s="24" t="str">
        <f>$I$3</f>
        <v>국민의힘</v>
      </c>
      <c r="V29" s="24" t="str">
        <f>$J$3</f>
        <v>정의당</v>
      </c>
    </row>
    <row r="30" spans="1:25" ht="17.25" thickBot="1">
      <c r="A30" s="2" t="s">
        <v>0</v>
      </c>
      <c r="B30" s="2" t="s">
        <v>1</v>
      </c>
      <c r="C30" s="2" t="s">
        <v>1</v>
      </c>
      <c r="D30" s="2" t="s">
        <v>19</v>
      </c>
      <c r="E30" s="2" t="s">
        <v>12</v>
      </c>
      <c r="F30" s="7">
        <v>63392</v>
      </c>
      <c r="G30" s="7">
        <v>27095</v>
      </c>
      <c r="H30" s="7">
        <v>13337</v>
      </c>
      <c r="I30" s="7">
        <v>11730</v>
      </c>
      <c r="J30" s="7">
        <v>1477</v>
      </c>
      <c r="K30" s="8">
        <v>0</v>
      </c>
      <c r="L30" s="7">
        <v>26544</v>
      </c>
      <c r="M30" s="8">
        <v>551</v>
      </c>
      <c r="N30" s="7">
        <v>36297</v>
      </c>
      <c r="O30" s="17" t="str">
        <f>"투표율: "&amp;TEXT(((G28/F28)*100), "0.00")&amp;"%"</f>
        <v>투표율: 50.72%</v>
      </c>
      <c r="P30" s="12" t="str">
        <f>"기권율: "&amp;TEXT(((N28/F28)*100), "0.00")&amp;"%"</f>
        <v>기권율: 49.28%</v>
      </c>
      <c r="Q30" s="17" t="str">
        <f>"유효투표율: "&amp;TEXT(((L28/G28)*100), "0.00")&amp;"%"</f>
        <v>유효투표율: 98.33%</v>
      </c>
      <c r="R30" s="12" t="str">
        <f>"무효투표율: "&amp;TEXT(((M28/G28)*100), "0.00")&amp;"%"</f>
        <v>무효투표율: 1.67%</v>
      </c>
      <c r="S30" s="48"/>
      <c r="T30" s="25" t="str">
        <f>TEXT(H28,"#,##0")&amp;CHAR(10)&amp;"("&amp;TEXT((ROUND((H28/(SUM(H28:K28))*100),2)),"0.00")&amp;"%)"</f>
        <v>18,747
(51.00%)</v>
      </c>
      <c r="U30" s="25" t="str">
        <f>TEXT(I28,"#,##0")&amp;CHAR(10)&amp;"("&amp;TEXT((ROUND((I28/(SUM(H28:K28))*100),2)),"0.00")&amp;"%)"</f>
        <v>16,151
(43.94%)</v>
      </c>
      <c r="V30" s="25" t="str">
        <f>TEXT(J28,"#,##0")&amp;CHAR(10)&amp;"("&amp;TEXT((ROUND((J28/(SUM(H28:K28))*100),2)),"0.00")&amp;"%)"</f>
        <v>1,859
(5.06%)</v>
      </c>
      <c r="W30">
        <f>SUBSTITUTE(SUBSTITUTE(LEFT(T30,FIND("(",T30)-1),",",""),CHAR(10),"")+0</f>
        <v>18747</v>
      </c>
      <c r="X30">
        <f>SUBSTITUTE(SUBSTITUTE(LEFT(U30,FIND("(",U30)-1),",",""),CHAR(10),"")+0</f>
        <v>16151</v>
      </c>
      <c r="Y30">
        <f>SUBSTITUTE(SUBSTITUTE(LEFT(V30,FIND("(",V30)-1),",",""),CHAR(10),"")+0</f>
        <v>1859</v>
      </c>
    </row>
    <row r="31" spans="1:25" ht="17.25" thickBot="1">
      <c r="A31" s="2" t="s">
        <v>0</v>
      </c>
      <c r="B31" s="2" t="s">
        <v>1</v>
      </c>
      <c r="C31" s="2" t="s">
        <v>1</v>
      </c>
      <c r="D31" s="2" t="s">
        <v>20</v>
      </c>
      <c r="E31" s="2" t="s">
        <v>10</v>
      </c>
      <c r="F31" s="7">
        <v>69725</v>
      </c>
      <c r="G31" s="7">
        <v>29765</v>
      </c>
      <c r="H31" s="7">
        <v>14673</v>
      </c>
      <c r="I31" s="7">
        <v>13038</v>
      </c>
      <c r="J31" s="7">
        <v>1387</v>
      </c>
      <c r="K31" s="8">
        <v>0</v>
      </c>
      <c r="L31" s="7">
        <v>29098</v>
      </c>
      <c r="M31" s="8">
        <v>667</v>
      </c>
      <c r="N31" s="7">
        <v>39960</v>
      </c>
      <c r="O31" s="44" t="str">
        <f>D31</f>
        <v>성곡동</v>
      </c>
      <c r="P31" s="53"/>
      <c r="Q31" s="53"/>
      <c r="R31" s="54"/>
      <c r="S31" s="30" t="s">
        <v>138</v>
      </c>
      <c r="T31" s="49" t="s">
        <v>136</v>
      </c>
      <c r="U31" s="51"/>
      <c r="V31" s="52"/>
    </row>
    <row r="32" spans="1:25" ht="17.25" thickBot="1">
      <c r="A32" s="2" t="s">
        <v>0</v>
      </c>
      <c r="B32" s="2" t="s">
        <v>1</v>
      </c>
      <c r="C32" s="2" t="s">
        <v>1</v>
      </c>
      <c r="D32" s="2" t="s">
        <v>20</v>
      </c>
      <c r="E32" s="2" t="s">
        <v>11</v>
      </c>
      <c r="F32" s="7">
        <v>9420</v>
      </c>
      <c r="G32" s="7">
        <v>9403</v>
      </c>
      <c r="H32" s="7">
        <v>4886</v>
      </c>
      <c r="I32" s="7">
        <v>3974</v>
      </c>
      <c r="J32" s="8">
        <v>422</v>
      </c>
      <c r="K32" s="8">
        <v>0</v>
      </c>
      <c r="L32" s="7">
        <v>9282</v>
      </c>
      <c r="M32" s="8">
        <v>121</v>
      </c>
      <c r="N32" s="8">
        <v>17</v>
      </c>
      <c r="O32" s="40" t="str">
        <f>"투표수: "&amp;TEXT((SUM(H31:K31)+M31), "#,##0")</f>
        <v>투표수: 29,765</v>
      </c>
      <c r="P32" s="42"/>
      <c r="Q32" s="18" t="str">
        <f>"유효투표수: "&amp;TEXT(SUM(H31:K31),"#,##0")</f>
        <v>유효투표수: 29,098</v>
      </c>
      <c r="R32" s="16" t="str">
        <f>"무효투표수: "&amp;TEXT(M31, "#,##0")</f>
        <v>무효투표수: 667</v>
      </c>
      <c r="S32" s="47" t="s">
        <v>141</v>
      </c>
      <c r="T32" s="24" t="str">
        <f>$H$3</f>
        <v>더불어민주당</v>
      </c>
      <c r="U32" s="24" t="str">
        <f>$I$3</f>
        <v>국민의힘</v>
      </c>
      <c r="V32" s="24" t="str">
        <f>$J$3</f>
        <v>정의당</v>
      </c>
    </row>
    <row r="33" spans="1:25" ht="17.25" thickBot="1">
      <c r="A33" s="2" t="s">
        <v>0</v>
      </c>
      <c r="B33" s="2" t="s">
        <v>1</v>
      </c>
      <c r="C33" s="2" t="s">
        <v>1</v>
      </c>
      <c r="D33" s="2" t="s">
        <v>20</v>
      </c>
      <c r="E33" s="2" t="s">
        <v>12</v>
      </c>
      <c r="F33" s="7">
        <v>60305</v>
      </c>
      <c r="G33" s="7">
        <v>20362</v>
      </c>
      <c r="H33" s="7">
        <v>9787</v>
      </c>
      <c r="I33" s="7">
        <v>9064</v>
      </c>
      <c r="J33" s="8">
        <v>965</v>
      </c>
      <c r="K33" s="8">
        <v>0</v>
      </c>
      <c r="L33" s="7">
        <v>19816</v>
      </c>
      <c r="M33" s="8">
        <v>546</v>
      </c>
      <c r="N33" s="7">
        <v>39943</v>
      </c>
      <c r="O33" s="17" t="str">
        <f>"투표율: "&amp;TEXT(((G31/F31)*100), "0.00")&amp;"%"</f>
        <v>투표율: 42.69%</v>
      </c>
      <c r="P33" s="12" t="str">
        <f>"기권율: "&amp;TEXT(((N31/F31)*100), "0.00")&amp;"%"</f>
        <v>기권율: 57.31%</v>
      </c>
      <c r="Q33" s="17" t="str">
        <f>"유효투표율: "&amp;TEXT(((L31/G31)*100), "0.00")&amp;"%"</f>
        <v>유효투표율: 97.76%</v>
      </c>
      <c r="R33" s="12" t="str">
        <f>"무효투표율: "&amp;TEXT(((M31/G31)*100), "0.00")&amp;"%"</f>
        <v>무효투표율: 2.24%</v>
      </c>
      <c r="S33" s="48"/>
      <c r="T33" s="25" t="str">
        <f>TEXT(H31,"#,##0")&amp;CHAR(10)&amp;"("&amp;TEXT((ROUND((H31/(SUM(H31:K31))*100),2)),"0.00")&amp;"%)"</f>
        <v>14,673
(50.43%)</v>
      </c>
      <c r="U33" s="25" t="str">
        <f>TEXT(I31,"#,##0")&amp;CHAR(10)&amp;"("&amp;TEXT((ROUND((I31/(SUM(H31:K31))*100),2)),"0.00")&amp;"%)"</f>
        <v>13,038
(44.81%)</v>
      </c>
      <c r="V33" s="25" t="str">
        <f>TEXT(J31,"#,##0")&amp;CHAR(10)&amp;"("&amp;TEXT((ROUND((J31/(SUM(H31:K31))*100),2)),"0.00")&amp;"%)"</f>
        <v>1,387
(4.77%)</v>
      </c>
      <c r="W33">
        <f>SUBSTITUTE(SUBSTITUTE(LEFT(T33,FIND("(",T33)-1),",",""),CHAR(10),"")+0</f>
        <v>14673</v>
      </c>
      <c r="X33">
        <f>SUBSTITUTE(SUBSTITUTE(LEFT(U33,FIND("(",U33)-1),",",""),CHAR(10),"")+0</f>
        <v>13038</v>
      </c>
      <c r="Y33">
        <f>SUBSTITUTE(SUBSTITUTE(LEFT(V33,FIND("(",V33)-1),",",""),CHAR(10),"")+0</f>
        <v>1387</v>
      </c>
    </row>
    <row r="34" spans="1:25" ht="17.25" thickBot="1">
      <c r="A34" s="2" t="s">
        <v>0</v>
      </c>
      <c r="B34" s="2" t="s">
        <v>1</v>
      </c>
      <c r="C34" s="2" t="s">
        <v>1</v>
      </c>
      <c r="D34" s="2" t="s">
        <v>21</v>
      </c>
      <c r="E34" s="2" t="s">
        <v>10</v>
      </c>
      <c r="F34" s="7">
        <v>69052</v>
      </c>
      <c r="G34" s="7">
        <v>28205</v>
      </c>
      <c r="H34" s="7">
        <v>13611</v>
      </c>
      <c r="I34" s="7">
        <v>12666</v>
      </c>
      <c r="J34" s="7">
        <v>1062</v>
      </c>
      <c r="K34" s="8">
        <v>0</v>
      </c>
      <c r="L34" s="7">
        <v>27339</v>
      </c>
      <c r="M34" s="8">
        <v>866</v>
      </c>
      <c r="N34" s="7">
        <v>40847</v>
      </c>
      <c r="O34" s="44" t="str">
        <f>D34</f>
        <v>오정동</v>
      </c>
      <c r="P34" s="53"/>
      <c r="Q34" s="53"/>
      <c r="R34" s="54"/>
      <c r="S34" s="30" t="s">
        <v>138</v>
      </c>
      <c r="T34" s="49" t="s">
        <v>136</v>
      </c>
      <c r="U34" s="51"/>
      <c r="V34" s="52"/>
    </row>
    <row r="35" spans="1:25" ht="17.25" thickBot="1">
      <c r="A35" s="2" t="s">
        <v>0</v>
      </c>
      <c r="B35" s="2" t="s">
        <v>1</v>
      </c>
      <c r="C35" s="2" t="s">
        <v>1</v>
      </c>
      <c r="D35" s="2" t="s">
        <v>21</v>
      </c>
      <c r="E35" s="2" t="s">
        <v>11</v>
      </c>
      <c r="F35" s="7">
        <v>7478</v>
      </c>
      <c r="G35" s="7">
        <v>7467</v>
      </c>
      <c r="H35" s="7">
        <v>3777</v>
      </c>
      <c r="I35" s="7">
        <v>3291</v>
      </c>
      <c r="J35" s="8">
        <v>296</v>
      </c>
      <c r="K35" s="8">
        <v>0</v>
      </c>
      <c r="L35" s="7">
        <v>7364</v>
      </c>
      <c r="M35" s="8">
        <v>103</v>
      </c>
      <c r="N35" s="8">
        <v>11</v>
      </c>
      <c r="O35" s="40" t="str">
        <f>"투표수: "&amp;TEXT((SUM(H34:K34)+M34), "#,##0")</f>
        <v>투표수: 28,205</v>
      </c>
      <c r="P35" s="42"/>
      <c r="Q35" s="18" t="str">
        <f>"유효투표수: "&amp;TEXT(SUM(H34:K34),"#,##0")</f>
        <v>유효투표수: 27,339</v>
      </c>
      <c r="R35" s="16" t="str">
        <f>"무효투표수: "&amp;TEXT(M34, "#,##0")</f>
        <v>무효투표수: 866</v>
      </c>
      <c r="S35" s="47" t="s">
        <v>141</v>
      </c>
      <c r="T35" s="24" t="str">
        <f>$H$3</f>
        <v>더불어민주당</v>
      </c>
      <c r="U35" s="24" t="str">
        <f>$I$3</f>
        <v>국민의힘</v>
      </c>
      <c r="V35" s="24" t="str">
        <f>$J$3</f>
        <v>정의당</v>
      </c>
    </row>
    <row r="36" spans="1:25" ht="17.25" thickBot="1">
      <c r="A36" s="2" t="s">
        <v>0</v>
      </c>
      <c r="B36" s="2" t="s">
        <v>1</v>
      </c>
      <c r="C36" s="2" t="s">
        <v>1</v>
      </c>
      <c r="D36" s="2" t="s">
        <v>21</v>
      </c>
      <c r="E36" s="2" t="s">
        <v>12</v>
      </c>
      <c r="F36" s="7">
        <v>61574</v>
      </c>
      <c r="G36" s="7">
        <v>20738</v>
      </c>
      <c r="H36" s="7">
        <v>9834</v>
      </c>
      <c r="I36" s="7">
        <v>9375</v>
      </c>
      <c r="J36" s="8">
        <v>766</v>
      </c>
      <c r="K36" s="8">
        <v>0</v>
      </c>
      <c r="L36" s="7">
        <v>19975</v>
      </c>
      <c r="M36" s="8">
        <v>763</v>
      </c>
      <c r="N36" s="7">
        <v>40836</v>
      </c>
      <c r="O36" s="17" t="str">
        <f>"투표율: "&amp;TEXT(((G34/F34)*100), "0.00")&amp;"%"</f>
        <v>투표율: 40.85%</v>
      </c>
      <c r="P36" s="12" t="str">
        <f>"기권율: "&amp;TEXT(((N34/F34)*100), "0.00")&amp;"%"</f>
        <v>기권율: 59.15%</v>
      </c>
      <c r="Q36" s="17" t="str">
        <f>"유효투표율: "&amp;TEXT(((L34/G34)*100), "0.00")&amp;"%"</f>
        <v>유효투표율: 96.93%</v>
      </c>
      <c r="R36" s="12" t="str">
        <f>"무효투표율: "&amp;TEXT(((M34/G34)*100), "0.00")&amp;"%"</f>
        <v>무효투표율: 3.07%</v>
      </c>
      <c r="S36" s="48"/>
      <c r="T36" s="25" t="str">
        <f>TEXT(H34,"#,##0")&amp;CHAR(10)&amp;"("&amp;TEXT((ROUND((H34/(SUM(H34:K34))*100),2)),"0.00")&amp;"%)"</f>
        <v>13,611
(49.79%)</v>
      </c>
      <c r="U36" s="25" t="str">
        <f>TEXT(I34,"#,##0")&amp;CHAR(10)&amp;"("&amp;TEXT((ROUND((I34/(SUM(H34:K34))*100),2)),"0.00")&amp;"%)"</f>
        <v>12,666
(46.33%)</v>
      </c>
      <c r="V36" s="25" t="str">
        <f>TEXT(J34,"#,##0")&amp;CHAR(10)&amp;"("&amp;TEXT((ROUND((J34/(SUM(H34:K34))*100),2)),"0.00")&amp;"%)"</f>
        <v>1,062
(3.88%)</v>
      </c>
      <c r="W36">
        <f>SUBSTITUTE(SUBSTITUTE(LEFT(T36,FIND("(",T36)-1),",",""),CHAR(10),"")+0</f>
        <v>13611</v>
      </c>
      <c r="X36">
        <f>SUBSTITUTE(SUBSTITUTE(LEFT(U36,FIND("(",U36)-1),",",""),CHAR(10),"")+0</f>
        <v>12666</v>
      </c>
      <c r="Y36">
        <f>SUBSTITUTE(SUBSTITUTE(LEFT(V36,FIND("(",V36)-1),",",""),CHAR(10),"")+0</f>
        <v>1062</v>
      </c>
    </row>
    <row r="37" spans="1:25" ht="17.25" thickBot="1">
      <c r="A37" s="2" t="s">
        <v>0</v>
      </c>
      <c r="B37" s="2" t="s">
        <v>1</v>
      </c>
      <c r="C37" s="2" t="s">
        <v>1</v>
      </c>
      <c r="D37" s="2" t="s">
        <v>22</v>
      </c>
      <c r="E37" s="2" t="s">
        <v>2</v>
      </c>
      <c r="F37" s="8">
        <v>0</v>
      </c>
      <c r="G37" s="8">
        <v>639</v>
      </c>
      <c r="H37" s="8">
        <v>286</v>
      </c>
      <c r="I37" s="8">
        <v>284</v>
      </c>
      <c r="J37" s="8">
        <v>30</v>
      </c>
      <c r="K37" s="8">
        <v>0</v>
      </c>
      <c r="L37" s="8">
        <v>600</v>
      </c>
      <c r="M37" s="8">
        <v>39</v>
      </c>
      <c r="N37" s="8">
        <v>-639</v>
      </c>
    </row>
    <row r="38" spans="1:25" ht="17.25" thickBot="1">
      <c r="O38" s="13" t="s">
        <v>143</v>
      </c>
      <c r="P38" s="14" t="s">
        <v>145</v>
      </c>
      <c r="Q38" s="19" t="s">
        <v>147</v>
      </c>
    </row>
    <row r="39" spans="1:25" ht="17.25" thickBot="1">
      <c r="O39" s="31" t="str">
        <f>TEXT(((M34+M31)/(L34+L31))*100, "0.00")&amp;"%"</f>
        <v>2.72%</v>
      </c>
      <c r="P39" s="32" t="str">
        <f>TEXT(((M19+M16+M13)/(L19+L16+L13))*100, "0.00")&amp;"%"</f>
        <v>1.79%</v>
      </c>
      <c r="Q39" s="33" t="str">
        <f>TEXT(((M28+M25+M22)/(L28+L25+L22))*100, "0.00")&amp;"%"</f>
        <v>1.96%</v>
      </c>
    </row>
    <row r="41" spans="1:25" ht="17.25" thickBot="1"/>
    <row r="42" spans="1:25" ht="17.25" thickBot="1">
      <c r="O42" s="58" t="s">
        <v>194</v>
      </c>
      <c r="P42" s="59"/>
      <c r="Q42" s="60"/>
    </row>
    <row r="43" spans="1:25" ht="17.25" thickBot="1">
      <c r="O43" s="13" t="s">
        <v>141</v>
      </c>
      <c r="P43" s="14" t="s">
        <v>139</v>
      </c>
      <c r="Q43" s="19" t="s">
        <v>140</v>
      </c>
    </row>
    <row r="44" spans="1:25" ht="17.25" thickBot="1">
      <c r="O44" s="61">
        <f>(W36+W33)/(SUM(W36:Y36,W33:Y33))</f>
        <v>0.50116058614029801</v>
      </c>
      <c r="P44" s="61">
        <f>(W15+W18+W21)/(SUM(W21:Y21,W18:Y18,W15:Y15))</f>
        <v>0.47763445128001586</v>
      </c>
      <c r="Q44" s="62">
        <f>(W30+W27+W24)/(SUM(W30:Y30,W27:Y27,W24:Y24))</f>
        <v>0.48868778280542985</v>
      </c>
    </row>
    <row r="45" spans="1:25" ht="17.25" thickBot="1"/>
    <row r="46" spans="1:25" ht="17.25" thickBot="1">
      <c r="O46" s="58" t="s">
        <v>198</v>
      </c>
      <c r="P46" s="59"/>
      <c r="Q46" s="60"/>
    </row>
    <row r="47" spans="1:25" ht="17.25" thickBot="1">
      <c r="O47" s="66" t="s">
        <v>141</v>
      </c>
      <c r="P47" s="67" t="s">
        <v>139</v>
      </c>
      <c r="Q47" s="71" t="s">
        <v>140</v>
      </c>
    </row>
    <row r="48" spans="1:25" ht="17.25" thickBot="1">
      <c r="O48" s="86">
        <f>(X36+X33)/(SUM(W36:Y36,W33:Y33))</f>
        <v>0.45544589542321529</v>
      </c>
      <c r="P48" s="86">
        <f>(X21+X18+X15)/(SUM(W21:Y21,W18:Y18,W15:Y15))</f>
        <v>0.47115499106965669</v>
      </c>
      <c r="Q48" s="87">
        <f>(X30+X27+X24)/(SUM(W30:Y30,W27:Y27,W24:Y24))</f>
        <v>0.46270581564699209</v>
      </c>
    </row>
  </sheetData>
  <mergeCells count="57">
    <mergeCell ref="O42:Q42"/>
    <mergeCell ref="O46:Q46"/>
    <mergeCell ref="O35:P35"/>
    <mergeCell ref="S35:S36"/>
    <mergeCell ref="O31:R31"/>
    <mergeCell ref="T31:V31"/>
    <mergeCell ref="O32:P32"/>
    <mergeCell ref="S32:S33"/>
    <mergeCell ref="O34:R34"/>
    <mergeCell ref="T34:V34"/>
    <mergeCell ref="O26:P26"/>
    <mergeCell ref="S26:S27"/>
    <mergeCell ref="O28:R28"/>
    <mergeCell ref="T28:V28"/>
    <mergeCell ref="O29:P29"/>
    <mergeCell ref="S29:S30"/>
    <mergeCell ref="O22:R22"/>
    <mergeCell ref="T22:V22"/>
    <mergeCell ref="O23:P23"/>
    <mergeCell ref="S23:S24"/>
    <mergeCell ref="O25:R25"/>
    <mergeCell ref="T25:V25"/>
    <mergeCell ref="O17:P17"/>
    <mergeCell ref="S17:S18"/>
    <mergeCell ref="O19:R19"/>
    <mergeCell ref="T19:V19"/>
    <mergeCell ref="O20:P20"/>
    <mergeCell ref="S20:S21"/>
    <mergeCell ref="O13:R13"/>
    <mergeCell ref="T13:V13"/>
    <mergeCell ref="O14:P14"/>
    <mergeCell ref="S14:S15"/>
    <mergeCell ref="O16:R16"/>
    <mergeCell ref="T16:V16"/>
    <mergeCell ref="O11:P11"/>
    <mergeCell ref="S11:S12"/>
    <mergeCell ref="O4:R4"/>
    <mergeCell ref="T4:V4"/>
    <mergeCell ref="O5:P5"/>
    <mergeCell ref="S5:S6"/>
    <mergeCell ref="O8:P8"/>
    <mergeCell ref="S8:S9"/>
    <mergeCell ref="T7:V7"/>
    <mergeCell ref="O10:R10"/>
    <mergeCell ref="T10:V10"/>
    <mergeCell ref="O7:R7"/>
    <mergeCell ref="A1:A2"/>
    <mergeCell ref="B1:B2"/>
    <mergeCell ref="C1:C2"/>
    <mergeCell ref="D1:D2"/>
    <mergeCell ref="E1:E2"/>
    <mergeCell ref="M1:M2"/>
    <mergeCell ref="N1:N2"/>
    <mergeCell ref="F1:F2"/>
    <mergeCell ref="G1:G2"/>
    <mergeCell ref="H1:K1"/>
    <mergeCell ref="L1:L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시장 (2)</vt:lpstr>
      <vt:lpstr>구시군의회의원 (2)</vt:lpstr>
      <vt:lpstr>기초비례의원 (2)</vt:lpstr>
      <vt:lpstr>결과</vt:lpstr>
      <vt:lpstr>시장</vt:lpstr>
      <vt:lpstr>시도지사</vt:lpstr>
      <vt:lpstr>구시군의회의원</vt:lpstr>
      <vt:lpstr>시도의회의원</vt:lpstr>
      <vt:lpstr>기초비례의원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Jeppeto alt</dc:creator>
  <cp:lastModifiedBy>Jeppeto alt</cp:lastModifiedBy>
  <dcterms:created xsi:type="dcterms:W3CDTF">2026-05-27T02:05:24Z</dcterms:created>
  <dcterms:modified xsi:type="dcterms:W3CDTF">2026-05-27T08:30:52Z</dcterms:modified>
</cp:coreProperties>
</file>